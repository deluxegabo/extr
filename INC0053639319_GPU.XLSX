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80" yWindow="465" windowWidth="15480" windowHeight="5400"/>
  </bookViews>
  <sheets>
    <sheet name="casos de prueba" sheetId="1" r:id="rId1"/>
    <sheet name="Hoja1" sheetId="2" r:id="rId2"/>
  </sheets>
  <definedNames>
    <definedName name="APPLICATION">'casos de prueba'!$A$819:$A$830</definedName>
    <definedName name="DESIGN">'casos de prueba'!$B$819:$B$822</definedName>
    <definedName name="sdad">'casos de prueba'!$B$820:$B$823</definedName>
  </definedNames>
  <calcPr calcId="145621"/>
</workbook>
</file>

<file path=xl/calcChain.xml><?xml version="1.0" encoding="utf-8"?>
<calcChain xmlns="http://schemas.openxmlformats.org/spreadsheetml/2006/main">
  <c r="K13" i="1" l="1"/>
  <c r="K12" i="1"/>
  <c r="K11" i="1"/>
  <c r="K10" i="1"/>
  <c r="I10" i="1"/>
  <c r="K7" i="1" l="1"/>
  <c r="K8" i="1"/>
  <c r="K9" i="1"/>
  <c r="I6" i="1" l="1"/>
  <c r="K6" i="1"/>
</calcChain>
</file>

<file path=xl/comments1.xml><?xml version="1.0" encoding="utf-8"?>
<comments xmlns="http://schemas.openxmlformats.org/spreadsheetml/2006/main">
  <authors>
    <author>RO27440</author>
    <author>Claudia Matienzo</author>
    <author>3181952</author>
    <author>Grupo Financiero Banamex</author>
    <author>3927385</author>
    <author>Ing. De Pruebas</author>
    <author>Paloma</author>
  </authors>
  <commentList>
    <comment ref="A5" authorId="0">
      <text>
        <r>
          <rPr>
            <b/>
            <sz val="8"/>
            <color indexed="81"/>
            <rFont val="Tahoma"/>
            <family val="2"/>
          </rPr>
          <t>RO27440:</t>
        </r>
        <r>
          <rPr>
            <sz val="8"/>
            <color indexed="81"/>
            <rFont val="Tahoma"/>
            <family val="2"/>
          </rPr>
          <t xml:space="preserve">
Poner el nombre de la carpeta de tu proyecto, seguido del tipo de pruebas como minimo, ejemplo:
0081971\PRUEBAS UAT\RN-0010 Realizar Mejoras necesarias  a BNE Premium\RU- 0020 Consultas no planeadas Bitacora Transferencias Masivas 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>RO27440:</t>
        </r>
        <r>
          <rPr>
            <sz val="8"/>
            <color indexed="81"/>
            <rFont val="Tahoma"/>
            <family val="2"/>
          </rPr>
          <t xml:space="preserve">
Seleccionar la aplicación correcta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RO27440:</t>
        </r>
        <r>
          <rPr>
            <sz val="8"/>
            <color indexed="81"/>
            <rFont val="Tahoma"/>
            <family val="2"/>
          </rPr>
          <t xml:space="preserve">
nuevo campo GOM.
Valores:
Mexico</t>
        </r>
      </text>
    </comment>
    <comment ref="D5" authorId="0">
      <text>
        <r>
          <rPr>
            <b/>
            <sz val="8"/>
            <color indexed="81"/>
            <rFont val="Tahoma"/>
            <family val="2"/>
          </rPr>
          <t>RO27440:</t>
        </r>
        <r>
          <rPr>
            <sz val="8"/>
            <color indexed="81"/>
            <rFont val="Tahoma"/>
            <family val="2"/>
          </rPr>
          <t xml:space="preserve">
Valor unico válido:
MEXICO TEAM</t>
        </r>
      </text>
    </comment>
    <comment ref="E5" authorId="0">
      <text>
        <r>
          <rPr>
            <b/>
            <sz val="8"/>
            <color indexed="81"/>
            <rFont val="Tahoma"/>
            <family val="2"/>
          </rPr>
          <t>RO27440:</t>
        </r>
        <r>
          <rPr>
            <sz val="8"/>
            <color indexed="81"/>
            <rFont val="Tahoma"/>
            <family val="2"/>
          </rPr>
          <t xml:space="preserve">
type es el tipo de caso, siempre será MANUAL porque nosotros hacemos "manualmente" nuestros casos.</t>
        </r>
      </text>
    </comment>
    <comment ref="F5" authorId="0">
      <text>
        <r>
          <rPr>
            <sz val="8"/>
            <color indexed="81"/>
            <rFont val="Tahoma"/>
            <family val="2"/>
          </rPr>
          <t>Valores:
SIT
UAT
UT
CIT
PT</t>
        </r>
      </text>
    </comment>
    <comment ref="G5" authorId="1">
      <text>
        <r>
          <rPr>
            <sz val="10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Este campo se toma en cuenta para formar el nombre del  TC, no se sube a QC
Recuerda que Excel No permite los ceros a la izquierda a menos que los utilices tipo texto, te recomiendo que aquí pongas el numero del requerimiento, ejemplo, si haces casos para el RU-0270, aqui escribe '0270
</t>
        </r>
      </text>
    </comment>
    <comment ref="H5" authorId="2">
      <text>
        <r>
          <rPr>
            <sz val="12"/>
            <color indexed="81"/>
            <rFont val="Tahoma"/>
            <family val="2"/>
          </rPr>
          <t>Nombre corto del Caso de Prueba</t>
        </r>
        <r>
          <rPr>
            <sz val="8"/>
            <color indexed="81"/>
            <rFont val="Tahoma"/>
            <family val="2"/>
          </rPr>
          <t xml:space="preserve">
no puedes usar los siguientes caracteres \/:%'*?&lt;&gt;|".
O te saldrá este error: Field 'Test Name' cannot contain the following characters: \/:%'*?&lt;&gt;|".</t>
        </r>
      </text>
    </comment>
    <comment ref="I5" authorId="1">
      <text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El nombre del caso de prueba se forma con la información de las columnas:
- Type (manual or automated), columna E
- Test Level, Columna F
- Test Case Number, columna G
- Test Case Short Name columna H</t>
        </r>
      </text>
    </comment>
    <comment ref="J5" authorId="3">
      <text>
        <r>
          <rPr>
            <sz val="12"/>
            <color indexed="81"/>
            <rFont val="Tahoma"/>
            <family val="2"/>
          </rPr>
          <t>Descripción  del 
test case. Aquí puedes poner el nombre largo y todo lo que le quieras escribir, no tiene restricciones.</t>
        </r>
      </text>
    </comment>
    <comment ref="K5" authorId="4">
      <text>
        <r>
          <rPr>
            <sz val="12"/>
            <color indexed="81"/>
            <rFont val="Tahoma"/>
            <family val="2"/>
          </rPr>
          <t>Fecha en que crea
dd/mm/aaaa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5" authorId="5">
      <text>
        <r>
          <rPr>
            <sz val="12"/>
            <color indexed="81"/>
            <rFont val="Tahoma"/>
            <family val="2"/>
          </rPr>
          <t xml:space="preserve">
Número del Step Name
Best Practices = Máximo 20 steps
Recuerda que Excel, elimina los decimales a la derecha cuando se tratan de ceros, en caso de utilizarlos estos pasos se sobre-escribirán en otros previamente cargados bajo la misma nomenclatura, es decir, el paso 1.0 es el mismo que el paso 1</t>
        </r>
      </text>
    </comment>
    <comment ref="M5" authorId="6">
      <text>
        <r>
          <rPr>
            <sz val="10"/>
            <color indexed="81"/>
            <rFont val="Tahoma"/>
            <family val="2"/>
          </rPr>
          <t xml:space="preserve">Escribir la acción  por cada paso a realizar. </t>
        </r>
        <r>
          <rPr>
            <sz val="12"/>
            <color indexed="81"/>
            <rFont val="Tahoma"/>
            <family val="2"/>
          </rPr>
          <t xml:space="preserve">Hacerlo en voz activa y comenzando por el sujeto que realiza la acción
</t>
        </r>
      </text>
    </comment>
    <comment ref="N5" authorId="2">
      <text>
        <r>
          <rPr>
            <sz val="10"/>
            <color indexed="81"/>
            <rFont val="Tahoma"/>
            <family val="2"/>
          </rPr>
          <t>Resultado esperado, puede ser de la forma :
"Se despliega Actualización Completa"</t>
        </r>
      </text>
    </comment>
    <comment ref="O5" authorId="6">
      <text>
        <r>
          <rPr>
            <sz val="10"/>
            <color indexed="81"/>
            <rFont val="Tahoma"/>
            <family val="2"/>
          </rPr>
          <t>SOEID del que va a subir el caso de prueba a Quality Center, es importante que exista en el proyecto, o te marcará que no existe, cuida que sea el mismo SOEID que ocupas cuando vas a exportarlo.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5" authorId="5">
      <text>
        <r>
          <rPr>
            <sz val="8"/>
            <color indexed="81"/>
            <rFont val="Tahoma"/>
            <family val="2"/>
          </rPr>
          <t xml:space="preserve">
Los valores  permitidos son:
Design
Imported
Ready
Repair</t>
        </r>
      </text>
    </comment>
  </commentList>
</comments>
</file>

<file path=xl/sharedStrings.xml><?xml version="1.0" encoding="utf-8"?>
<sst xmlns="http://schemas.openxmlformats.org/spreadsheetml/2006/main" count="84" uniqueCount="67">
  <si>
    <t xml:space="preserve">Matriz de Casos de Prueba </t>
  </si>
  <si>
    <t>Description</t>
  </si>
  <si>
    <t>Creation Date</t>
  </si>
  <si>
    <t>MANUAL</t>
  </si>
  <si>
    <t>Step 1</t>
  </si>
  <si>
    <t>Design</t>
  </si>
  <si>
    <t>Application</t>
  </si>
  <si>
    <t>Country</t>
  </si>
  <si>
    <t>Testing Group</t>
  </si>
  <si>
    <t>Subject</t>
  </si>
  <si>
    <t>Type</t>
  </si>
  <si>
    <t>Test Name</t>
  </si>
  <si>
    <t>Description (Design Steps)</t>
  </si>
  <si>
    <t>Designer</t>
  </si>
  <si>
    <t>Status</t>
  </si>
  <si>
    <t>Step Name (Design Steps)</t>
  </si>
  <si>
    <t>Expected (Design Steps)</t>
  </si>
  <si>
    <t>Comments</t>
  </si>
  <si>
    <t>Tipo de prueba
(no sube)</t>
  </si>
  <si>
    <t>Lee los comentarios que estan en cada titulo</t>
  </si>
  <si>
    <t>F-IP-CASOS-DE-PRUEBA_GOM</t>
  </si>
  <si>
    <t>Test Case Number
(no sube)</t>
  </si>
  <si>
    <t>Test Case Short Name (no sube)</t>
  </si>
  <si>
    <t>Número de Versión:  3.1</t>
  </si>
  <si>
    <t>DEV</t>
  </si>
  <si>
    <t>Step 2</t>
  </si>
  <si>
    <t>MEXICO TEAM</t>
  </si>
  <si>
    <t>LH73217</t>
  </si>
  <si>
    <t>México</t>
  </si>
  <si>
    <t>Fecha Actualización: 19/06/2018</t>
  </si>
  <si>
    <t>Abrir el archivo PDF resultante y vallidar que este de acuerdo requerimiento</t>
  </si>
  <si>
    <t>INC0053639319</t>
  </si>
  <si>
    <t>EDO DE CUENTA - Seguimiento de incidente para generación, estado de cuenta 1Q2018_'INC0053639319</t>
  </si>
  <si>
    <t>Ejecutar el proceso para visualizar los estados de cuenta.</t>
  </si>
  <si>
    <t>Ejecutar el proceso para visualizar los informes de saldo.</t>
  </si>
  <si>
    <t>Step 3</t>
  </si>
  <si>
    <t>Step 4</t>
  </si>
  <si>
    <t>El usuario recibe los archivos PDF de "Estados de Cuenta".</t>
  </si>
  <si>
    <t>El usuario abre los archivos PDF de "Estados de Cuenta".</t>
  </si>
  <si>
    <t>El usuario abre los archivos PDF de "Estados de Cuenta" con un visor de pdf (Acrobat, FoxitReader,etc...)</t>
  </si>
  <si>
    <t>El usuario valida los archivos PDF de "Estados de Cuenta".</t>
  </si>
  <si>
    <t>El usuario valida que los archivos PDF de "Estados de Cuenta" estén de acuerdo a lo solicitado, por ejemplo que el numero de NSS sea de 11 digitos en caso de que se muestre en el documento, de lo contrario el apartado se mostrara en blanco.</t>
  </si>
  <si>
    <r>
      <t xml:space="preserve">El usuario </t>
    </r>
    <r>
      <rPr>
        <i/>
        <sz val="10"/>
        <rFont val="Arial"/>
        <family val="2"/>
      </rPr>
      <t>recibe</t>
    </r>
    <r>
      <rPr>
        <sz val="10"/>
        <rFont val="Arial"/>
        <family val="2"/>
      </rPr>
      <t xml:space="preserve"> los archivos PDF de "Estados de Cuenta" del equipo de control de cambios.</t>
    </r>
  </si>
  <si>
    <t>ESTADO DE CUENTA</t>
  </si>
  <si>
    <t>INFORME DE SALDO</t>
  </si>
  <si>
    <t>INFORME DE SALDO - Seguimiento de incidente para generación de informe de saldos 1Q2018_'INC0053639319</t>
  </si>
  <si>
    <t>Actualizacion de los informes de saldo en los clientes que no tengan asisgnados su NSS.</t>
  </si>
  <si>
    <t>Actualizacion de los estados de cuenta en los clientes que no tengan asisgnados su NSS.</t>
  </si>
  <si>
    <t>Si la validación es correcta, El usuario envía su visto bueno y la aceptación de la atención de la incidencia en los "Estados de Cuenta".
Si la validación es incorrecta, El usuario envia sus comentarios y evidencias respecto a los errores encontrados en los "Estados de Cuenta".</t>
  </si>
  <si>
    <t xml:space="preserve">
INC0053639319 - Estados de cuenta - [DOC1] Error en la carga de archivos con NSS virtual o nulo
</t>
  </si>
  <si>
    <t xml:space="preserve">INC0053639319 - Estados de cuenta - [DOC1] Error en la carga de archivos con NSS virtual o nulo
</t>
  </si>
  <si>
    <t>El usuario recibe los archivos PDF de "Informes de Saldo".</t>
  </si>
  <si>
    <t>El usuario abre los archivos PDF de "Informes de Saldo".</t>
  </si>
  <si>
    <t>El usuario valida los archivos PDF de "Informes de Saldo".</t>
  </si>
  <si>
    <t>El usuario abre los archivos PDF de "Informes de Saldo" con un visor de pdf (Acrobat, FoxitReader,etc...)</t>
  </si>
  <si>
    <r>
      <t xml:space="preserve">El usuario </t>
    </r>
    <r>
      <rPr>
        <i/>
        <sz val="10"/>
        <rFont val="Arial"/>
        <family val="2"/>
      </rPr>
      <t>recibe</t>
    </r>
    <r>
      <rPr>
        <sz val="10"/>
        <rFont val="Arial"/>
        <family val="2"/>
      </rPr>
      <t xml:space="preserve"> los archivos PDF de "Informes de Saldo" del equipo de control de cambios.</t>
    </r>
  </si>
  <si>
    <t>El usuario envia los cometarios respecto a los "Estados de Cuenta".</t>
  </si>
  <si>
    <t>LH73218</t>
  </si>
  <si>
    <t>LH73219</t>
  </si>
  <si>
    <t>LH73220</t>
  </si>
  <si>
    <t>LH73221</t>
  </si>
  <si>
    <t>LH73222</t>
  </si>
  <si>
    <t>LH73223</t>
  </si>
  <si>
    <t>LH73224</t>
  </si>
  <si>
    <t>El usuario valida que los archivos PDF de "Informes de Saldo" estén de acuerdo a lo solicitado, por ejemplo que el numero de NSS sea de 11 dígitos en caso de que se muestre en el documento, de lo contrario el apartado se mostrara en blanco.</t>
  </si>
  <si>
    <t>El usuario envía los cometarios respecto a los "Informes de Saldo".</t>
  </si>
  <si>
    <t>Si la validación es correcta, El usuario envía su visto bueno y la aceptación de la atención de la incidencia en los "Informes de Saldo".
Si la validación es incorrecta, El usuario envía sus comentarios y evidencias respecto a los errores encontrados en los "Informes de Saldo".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</si>
</sst>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b/>
      <sz val="10"/>
      <color indexed="10"/>
      <name val="Arial"/>
      <family val="2"/>
    </font>
    <font>
      <b/>
      <sz val="14"/>
      <color indexed="12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20"/>
      <color indexed="12"/>
      <name val="Calibri"/>
      <family val="2"/>
    </font>
    <font>
      <b/>
      <sz val="12"/>
      <color indexed="9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2"/>
      <color indexed="81"/>
      <name val="Tahoma"/>
      <family val="2"/>
    </font>
    <font>
      <sz val="10"/>
      <color indexed="81"/>
      <name val="Calibri"/>
      <family val="2"/>
    </font>
    <font>
      <sz val="8"/>
      <color indexed="81"/>
      <name val="Tahoma"/>
      <family val="2"/>
    </font>
    <font>
      <sz val="10"/>
      <color indexed="81"/>
      <name val="Tahoma"/>
      <family val="2"/>
    </font>
    <font>
      <sz val="11"/>
      <color indexed="8"/>
      <name val="Calibri"/>
      <family val="2"/>
    </font>
    <font>
      <sz val="10"/>
      <color indexed="18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i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57">
    <xf numFmtId="0" fontId="0" fillId="0" borderId="0"/>
    <xf numFmtId="0" fontId="1" fillId="2" borderId="0" applyNumberFormat="0" applyBorder="0" applyAlignment="0" applyProtection="0"/>
    <xf numFmtId="0" fontId="36" fillId="2" borderId="0" applyNumberFormat="0" applyBorder="0" applyAlignment="0" applyProtection="0"/>
    <xf numFmtId="0" fontId="1" fillId="3" borderId="0" applyNumberFormat="0" applyBorder="0" applyAlignment="0" applyProtection="0"/>
    <xf numFmtId="0" fontId="36" fillId="3" borderId="0" applyNumberFormat="0" applyBorder="0" applyAlignment="0" applyProtection="0"/>
    <xf numFmtId="0" fontId="1" fillId="4" borderId="0" applyNumberFormat="0" applyBorder="0" applyAlignment="0" applyProtection="0"/>
    <xf numFmtId="0" fontId="36" fillId="4" borderId="0" applyNumberFormat="0" applyBorder="0" applyAlignment="0" applyProtection="0"/>
    <xf numFmtId="0" fontId="1" fillId="5" borderId="0" applyNumberFormat="0" applyBorder="0" applyAlignment="0" applyProtection="0"/>
    <xf numFmtId="0" fontId="36" fillId="5" borderId="0" applyNumberFormat="0" applyBorder="0" applyAlignment="0" applyProtection="0"/>
    <xf numFmtId="0" fontId="1" fillId="6" borderId="0" applyNumberFormat="0" applyBorder="0" applyAlignment="0" applyProtection="0"/>
    <xf numFmtId="0" fontId="36" fillId="6" borderId="0" applyNumberFormat="0" applyBorder="0" applyAlignment="0" applyProtection="0"/>
    <xf numFmtId="0" fontId="1" fillId="7" borderId="0" applyNumberFormat="0" applyBorder="0" applyAlignment="0" applyProtection="0"/>
    <xf numFmtId="0" fontId="36" fillId="7" borderId="0" applyNumberFormat="0" applyBorder="0" applyAlignment="0" applyProtection="0"/>
    <xf numFmtId="0" fontId="1" fillId="8" borderId="0" applyNumberFormat="0" applyBorder="0" applyAlignment="0" applyProtection="0"/>
    <xf numFmtId="0" fontId="36" fillId="8" borderId="0" applyNumberFormat="0" applyBorder="0" applyAlignment="0" applyProtection="0"/>
    <xf numFmtId="0" fontId="1" fillId="9" borderId="0" applyNumberFormat="0" applyBorder="0" applyAlignment="0" applyProtection="0"/>
    <xf numFmtId="0" fontId="36" fillId="9" borderId="0" applyNumberFormat="0" applyBorder="0" applyAlignment="0" applyProtection="0"/>
    <xf numFmtId="0" fontId="1" fillId="10" borderId="0" applyNumberFormat="0" applyBorder="0" applyAlignment="0" applyProtection="0"/>
    <xf numFmtId="0" fontId="36" fillId="10" borderId="0" applyNumberFormat="0" applyBorder="0" applyAlignment="0" applyProtection="0"/>
    <xf numFmtId="0" fontId="1" fillId="5" borderId="0" applyNumberFormat="0" applyBorder="0" applyAlignment="0" applyProtection="0"/>
    <xf numFmtId="0" fontId="36" fillId="5" borderId="0" applyNumberFormat="0" applyBorder="0" applyAlignment="0" applyProtection="0"/>
    <xf numFmtId="0" fontId="1" fillId="8" borderId="0" applyNumberFormat="0" applyBorder="0" applyAlignment="0" applyProtection="0"/>
    <xf numFmtId="0" fontId="36" fillId="8" borderId="0" applyNumberFormat="0" applyBorder="0" applyAlignment="0" applyProtection="0"/>
    <xf numFmtId="0" fontId="1" fillId="11" borderId="0" applyNumberFormat="0" applyBorder="0" applyAlignment="0" applyProtection="0"/>
    <xf numFmtId="0" fontId="36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" fillId="23" borderId="4" applyNumberFormat="0" applyFont="0" applyAlignment="0" applyProtection="0"/>
    <xf numFmtId="0" fontId="36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38" fillId="0" borderId="0"/>
  </cellStyleXfs>
  <cellXfs count="77">
    <xf numFmtId="0" fontId="0" fillId="0" borderId="0" xfId="0"/>
    <xf numFmtId="0" fontId="11" fillId="0" borderId="0" xfId="0" applyFont="1" applyFill="1" applyBorder="1"/>
    <xf numFmtId="0" fontId="20" fillId="0" borderId="0" xfId="0" applyNumberFormat="1" applyFont="1" applyFill="1" applyBorder="1" applyAlignment="1">
      <alignment vertical="center" wrapText="1"/>
    </xf>
    <xf numFmtId="0" fontId="21" fillId="0" borderId="0" xfId="0" applyFont="1" applyFill="1" applyBorder="1"/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49" fontId="22" fillId="0" borderId="0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11" fillId="0" borderId="0" xfId="0" applyFont="1" applyFill="1" applyBorder="1" applyAlignment="1">
      <alignment vertical="top" wrapText="1"/>
    </xf>
    <xf numFmtId="0" fontId="11" fillId="0" borderId="0" xfId="0" applyNumberFormat="1" applyFont="1" applyFill="1" applyBorder="1" applyAlignment="1">
      <alignment vertical="top" wrapText="1"/>
    </xf>
    <xf numFmtId="0" fontId="11" fillId="0" borderId="10" xfId="0" applyNumberFormat="1" applyFont="1" applyFill="1" applyBorder="1" applyAlignment="1">
      <alignment horizontal="center" vertical="top" wrapText="1"/>
    </xf>
    <xf numFmtId="0" fontId="26" fillId="24" borderId="10" xfId="0" applyFont="1" applyFill="1" applyBorder="1" applyAlignment="1">
      <alignment horizontal="center" vertical="center" wrapText="1"/>
    </xf>
    <xf numFmtId="0" fontId="27" fillId="25" borderId="10" xfId="0" applyFont="1" applyFill="1" applyBorder="1" applyAlignment="1">
      <alignment horizontal="center" vertical="center" wrapText="1"/>
    </xf>
    <xf numFmtId="0" fontId="28" fillId="25" borderId="10" xfId="0" applyNumberFormat="1" applyFont="1" applyFill="1" applyBorder="1" applyAlignment="1">
      <alignment horizontal="center" vertical="center" wrapText="1"/>
    </xf>
    <xf numFmtId="49" fontId="26" fillId="24" borderId="10" xfId="0" applyNumberFormat="1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/>
    </xf>
    <xf numFmtId="0" fontId="11" fillId="0" borderId="10" xfId="0" applyNumberFormat="1" applyFont="1" applyFill="1" applyBorder="1" applyAlignment="1">
      <alignment vertical="center" wrapText="1"/>
    </xf>
    <xf numFmtId="49" fontId="11" fillId="0" borderId="10" xfId="0" applyNumberFormat="1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vertical="center" wrapText="1"/>
    </xf>
    <xf numFmtId="14" fontId="11" fillId="26" borderId="10" xfId="0" applyNumberFormat="1" applyFont="1" applyFill="1" applyBorder="1" applyAlignment="1">
      <alignment horizontal="left" vertical="center" wrapText="1"/>
    </xf>
    <xf numFmtId="0" fontId="30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30" fillId="0" borderId="0" xfId="0" applyFont="1"/>
    <xf numFmtId="14" fontId="11" fillId="0" borderId="1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vertical="center" wrapText="1"/>
    </xf>
    <xf numFmtId="0" fontId="31" fillId="0" borderId="0" xfId="0" applyNumberFormat="1" applyFont="1" applyFill="1" applyBorder="1" applyAlignment="1">
      <alignment vertical="center" wrapText="1"/>
    </xf>
    <xf numFmtId="49" fontId="31" fillId="0" borderId="0" xfId="0" applyNumberFormat="1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40" fillId="24" borderId="10" xfId="0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7" fillId="0" borderId="10" xfId="55" applyFont="1" applyBorder="1" applyAlignment="1">
      <alignment wrapText="1"/>
    </xf>
    <xf numFmtId="0" fontId="11" fillId="0" borderId="10" xfId="0" applyNumberFormat="1" applyFont="1" applyFill="1" applyBorder="1" applyAlignment="1">
      <alignment horizontal="center" vertical="center" wrapText="1"/>
    </xf>
    <xf numFmtId="49" fontId="11" fillId="0" borderId="10" xfId="0" quotePrefix="1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31" fillId="26" borderId="11" xfId="0" applyFont="1" applyFill="1" applyBorder="1" applyAlignment="1">
      <alignment horizontal="center" vertical="center"/>
    </xf>
    <xf numFmtId="0" fontId="31" fillId="0" borderId="11" xfId="0" applyNumberFormat="1" applyFont="1" applyFill="1" applyBorder="1" applyAlignment="1">
      <alignment vertical="center" wrapText="1"/>
    </xf>
    <xf numFmtId="0" fontId="45" fillId="0" borderId="10" xfId="0" applyNumberFormat="1" applyFont="1" applyFill="1" applyBorder="1" applyAlignment="1">
      <alignment vertical="center" wrapText="1"/>
    </xf>
    <xf numFmtId="0" fontId="47" fillId="0" borderId="10" xfId="0" applyFont="1" applyFill="1" applyBorder="1" applyAlignment="1">
      <alignment vertical="center" wrapText="1"/>
    </xf>
    <xf numFmtId="14" fontId="46" fillId="0" borderId="10" xfId="0" applyNumberFormat="1" applyFont="1" applyFill="1" applyBorder="1" applyAlignment="1">
      <alignment horizontal="left" vertical="center" wrapText="1"/>
    </xf>
    <xf numFmtId="0" fontId="42" fillId="0" borderId="10" xfId="0" applyNumberFormat="1" applyFont="1" applyFill="1" applyBorder="1" applyAlignment="1">
      <alignment horizontal="center" vertical="center" wrapText="1"/>
    </xf>
    <xf numFmtId="0" fontId="11" fillId="0" borderId="10" xfId="0" quotePrefix="1" applyNumberFormat="1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48" fillId="0" borderId="10" xfId="0" applyFont="1" applyFill="1" applyBorder="1" applyAlignment="1">
      <alignment vertical="center" wrapText="1"/>
    </xf>
    <xf numFmtId="0" fontId="48" fillId="0" borderId="10" xfId="0" applyFont="1" applyBorder="1" applyAlignment="1">
      <alignment horizontal="left" vertical="center" wrapText="1"/>
    </xf>
    <xf numFmtId="0" fontId="47" fillId="0" borderId="10" xfId="0" quotePrefix="1" applyFont="1" applyFill="1" applyBorder="1" applyAlignment="1">
      <alignment vertical="center" wrapText="1"/>
    </xf>
    <xf numFmtId="0" fontId="31" fillId="26" borderId="10" xfId="0" applyFont="1" applyFill="1" applyBorder="1" applyAlignment="1">
      <alignment horizontal="center" vertical="center"/>
    </xf>
    <xf numFmtId="14" fontId="31" fillId="26" borderId="10" xfId="0" applyNumberFormat="1" applyFont="1" applyFill="1" applyBorder="1" applyAlignment="1">
      <alignment horizontal="center" vertical="center" wrapText="1"/>
    </xf>
    <xf numFmtId="14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2" fillId="0" borderId="10" xfId="0" applyFont="1" applyBorder="1" applyAlignment="1">
      <alignment horizontal="left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0" xfId="0" quotePrefix="1" applyFont="1" applyFill="1" applyBorder="1" applyAlignment="1">
      <alignment horizontal="center" vertical="center" wrapText="1"/>
    </xf>
    <xf numFmtId="0" fontId="48" fillId="0" borderId="10" xfId="0" applyFont="1" applyFill="1" applyBorder="1" applyAlignment="1">
      <alignment horizontal="left" vertical="center" wrapText="1"/>
    </xf>
    <xf numFmtId="0" fontId="31" fillId="0" borderId="10" xfId="0" applyNumberFormat="1" applyFont="1" applyFill="1" applyBorder="1" applyAlignment="1">
      <alignment vertical="center" wrapText="1"/>
    </xf>
    <xf numFmtId="0" fontId="42" fillId="27" borderId="10" xfId="0" applyFont="1" applyFill="1" applyBorder="1" applyAlignment="1">
      <alignment horizontal="left" vertical="center" wrapText="1"/>
    </xf>
    <xf numFmtId="0" fontId="31" fillId="26" borderId="0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left" vertical="center" wrapText="1"/>
    </xf>
    <xf numFmtId="0" fontId="44" fillId="28" borderId="0" xfId="0" applyFont="1" applyFill="1" applyBorder="1" applyAlignment="1">
      <alignment horizontal="center" vertical="center" wrapText="1"/>
    </xf>
    <xf numFmtId="0" fontId="11" fillId="0" borderId="0" xfId="0" applyFont="1" applyFill="1" applyBorder="1"/>
    <xf numFmtId="0" fontId="23" fillId="0" borderId="0" xfId="0" applyFont="1" applyAlignment="1">
      <alignment horizontal="left"/>
    </xf>
    <xf numFmtId="0" fontId="24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11" fillId="0" borderId="10" xfId="0" applyFont="1" applyFill="1" applyBorder="1" applyAlignment="1">
      <alignment horizontal="left" vertical="center" wrapText="1"/>
    </xf>
    <xf numFmtId="0" fontId="30" fillId="0" borderId="10" xfId="0" applyFont="1" applyBorder="1" applyAlignment="1">
      <alignment vertical="center"/>
    </xf>
    <xf numFmtId="0" fontId="30" fillId="0" borderId="10" xfId="0" applyFont="1" applyBorder="1" applyAlignment="1">
      <alignment vertical="center" wrapText="1"/>
    </xf>
    <xf numFmtId="0" fontId="42" fillId="0" borderId="10" xfId="0" applyFont="1" applyBorder="1" applyAlignment="1">
      <alignment vertical="center" wrapText="1"/>
    </xf>
    <xf numFmtId="0" fontId="11" fillId="0" borderId="10" xfId="0" applyNumberFormat="1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left" vertical="top" wrapText="1"/>
    </xf>
    <xf numFmtId="14" fontId="11" fillId="26" borderId="10" xfId="0" applyNumberFormat="1" applyFont="1" applyFill="1" applyBorder="1" applyAlignment="1">
      <alignment horizontal="center" vertical="center" wrapText="1"/>
    </xf>
  </cellXfs>
  <cellStyles count="57">
    <cellStyle name="=C:\WINNT\SYSTEM32\COMMAND.COM" xfId="55"/>
    <cellStyle name="20% - Énfasis1" xfId="1" builtinId="30" customBuiltin="1"/>
    <cellStyle name="20% - Énfasis1 2" xfId="2"/>
    <cellStyle name="20% - Énfasis2" xfId="3" builtinId="34" customBuiltin="1"/>
    <cellStyle name="20% - Énfasis2 2" xfId="4"/>
    <cellStyle name="20% - Énfasis3" xfId="5" builtinId="38" customBuiltin="1"/>
    <cellStyle name="20% - Énfasis3 2" xfId="6"/>
    <cellStyle name="20% - Énfasis4" xfId="7" builtinId="42" customBuiltin="1"/>
    <cellStyle name="20% - Énfasis4 2" xfId="8"/>
    <cellStyle name="20% - Énfasis5" xfId="9" builtinId="46" customBuiltin="1"/>
    <cellStyle name="20% - Énfasis5 2" xfId="10"/>
    <cellStyle name="20% - Énfasis6" xfId="11" builtinId="50" customBuiltin="1"/>
    <cellStyle name="20% - Énfasis6 2" xfId="12"/>
    <cellStyle name="40% - Énfasis1" xfId="13" builtinId="31" customBuiltin="1"/>
    <cellStyle name="40% - Énfasis1 2" xfId="14"/>
    <cellStyle name="40% - Énfasis2" xfId="15" builtinId="35" customBuiltin="1"/>
    <cellStyle name="40% - Énfasis2 2" xfId="16"/>
    <cellStyle name="40% - Énfasis3" xfId="17" builtinId="39" customBuiltin="1"/>
    <cellStyle name="40% - Énfasis3 2" xfId="18"/>
    <cellStyle name="40% - Énfasis4" xfId="19" builtinId="43" customBuiltin="1"/>
    <cellStyle name="40% - Énfasis4 2" xfId="20"/>
    <cellStyle name="40% - Énfasis5" xfId="21" builtinId="47" customBuiltin="1"/>
    <cellStyle name="40% - Énfasis5 2" xfId="22"/>
    <cellStyle name="40% - Énfasis6" xfId="23" builtinId="51" customBuiltin="1"/>
    <cellStyle name="40% - Énfasis6 2" xfId="24"/>
    <cellStyle name="60% - Énfasis1" xfId="25" builtinId="32" customBuiltin="1"/>
    <cellStyle name="60% - Énfasis2" xfId="26" builtinId="36" customBuiltin="1"/>
    <cellStyle name="60% - Énfasis3" xfId="27" builtinId="40" customBuiltin="1"/>
    <cellStyle name="60% - Énfasis4" xfId="28" builtinId="44" customBuiltin="1"/>
    <cellStyle name="60% - Énfasis5" xfId="29" builtinId="48" customBuiltin="1"/>
    <cellStyle name="60% - Énfasis6" xfId="30" builtinId="52" customBuiltin="1"/>
    <cellStyle name="Buena" xfId="31" builtinId="26" customBuiltin="1"/>
    <cellStyle name="Cálculo" xfId="32" builtinId="22" customBuiltin="1"/>
    <cellStyle name="Celda de comprobación" xfId="33" builtinId="23" customBuiltin="1"/>
    <cellStyle name="Celda vinculada" xfId="34" builtinId="24" customBuiltin="1"/>
    <cellStyle name="Encabezado 4" xfId="35" builtinId="19" customBuiltin="1"/>
    <cellStyle name="Énfasis1" xfId="36" builtinId="29" customBuiltin="1"/>
    <cellStyle name="Énfasis2" xfId="37" builtinId="33" customBuiltin="1"/>
    <cellStyle name="Énfasis3" xfId="38" builtinId="37" customBuiltin="1"/>
    <cellStyle name="Énfasis4" xfId="39" builtinId="41" customBuiltin="1"/>
    <cellStyle name="Énfasis5" xfId="40" builtinId="45" customBuiltin="1"/>
    <cellStyle name="Énfasis6" xfId="41" builtinId="49" customBuiltin="1"/>
    <cellStyle name="Entrada" xfId="42" builtinId="20" customBuiltin="1"/>
    <cellStyle name="Incorrecto" xfId="43" builtinId="27" customBuiltin="1"/>
    <cellStyle name="Neutral" xfId="44" builtinId="28" customBuiltin="1"/>
    <cellStyle name="Normal" xfId="0" builtinId="0"/>
    <cellStyle name="Normal 2" xfId="56"/>
    <cellStyle name="Notas" xfId="45" builtinId="10" customBuiltin="1"/>
    <cellStyle name="Notas 2" xfId="46"/>
    <cellStyle name="Salida" xfId="47" builtinId="21" customBuiltin="1"/>
    <cellStyle name="Texto de advertencia" xfId="48" builtinId="11" customBuiltin="1"/>
    <cellStyle name="Texto explicativo" xfId="49" builtinId="53" customBuiltin="1"/>
    <cellStyle name="Título" xfId="50" builtinId="15" customBuiltin="1"/>
    <cellStyle name="Título 1" xfId="51" builtinId="16" customBuiltin="1"/>
    <cellStyle name="Título 2" xfId="52" builtinId="17" customBuiltin="1"/>
    <cellStyle name="Título 3" xfId="53" builtinId="18" customBuiltin="1"/>
    <cellStyle name="Total" xfId="54" builtinId="25" customBuiltin="1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38100</xdr:rowOff>
    </xdr:from>
    <xdr:to>
      <xdr:col>4</xdr:col>
      <xdr:colOff>0</xdr:colOff>
      <xdr:row>0</xdr:row>
      <xdr:rowOff>443778</xdr:rowOff>
    </xdr:to>
    <xdr:pic>
      <xdr:nvPicPr>
        <xdr:cNvPr id="1218" name="Picture 36">
          <a:extLst>
            <a:ext uri="{FF2B5EF4-FFF2-40B4-BE49-F238E27FC236}">
              <a16:creationId xmlns:a16="http://schemas.microsoft.com/office/drawing/2014/main" xmlns="" id="{00000000-0008-0000-00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8100"/>
          <a:ext cx="4446443" cy="4056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Q830"/>
  <sheetViews>
    <sheetView tabSelected="1" topLeftCell="G1" zoomScale="90" zoomScaleNormal="90" workbookViewId="0">
      <selection activeCell="J10" sqref="J10"/>
    </sheetView>
  </sheetViews>
  <sheetFormatPr baseColWidth="10" defaultColWidth="11.42578125" defaultRowHeight="15" x14ac:dyDescent="0.25"/>
  <cols>
    <col min="1" max="1" width="23.42578125" style="26" customWidth="1"/>
    <col min="2" max="2" width="22" style="26" customWidth="1"/>
    <col min="3" max="3" width="10.140625" style="26" customWidth="1"/>
    <col min="4" max="4" width="14.7109375" style="26" customWidth="1"/>
    <col min="5" max="5" width="10.28515625" style="27" customWidth="1"/>
    <col min="6" max="7" width="9.85546875" style="27" customWidth="1"/>
    <col min="8" max="8" width="24" style="27" bestFit="1" customWidth="1"/>
    <col min="9" max="9" width="22.28515625" style="27" customWidth="1"/>
    <col min="10" max="10" width="52.28515625" style="27" customWidth="1"/>
    <col min="11" max="11" width="12" style="28" bestFit="1" customWidth="1"/>
    <col min="12" max="12" width="11" style="26" customWidth="1"/>
    <col min="13" max="13" width="73.140625" style="33" customWidth="1"/>
    <col min="14" max="14" width="76.7109375" style="33" customWidth="1"/>
    <col min="15" max="15" width="14.85546875" style="26" customWidth="1"/>
    <col min="16" max="16" width="14.7109375" style="40" customWidth="1"/>
    <col min="17" max="17" width="26.7109375" style="29" customWidth="1"/>
    <col min="23" max="25" width="11.42578125" customWidth="1"/>
  </cols>
  <sheetData>
    <row r="1" spans="1:17" ht="38.25" customHeight="1" x14ac:dyDescent="0.25">
      <c r="A1" s="65"/>
      <c r="B1" s="65"/>
      <c r="C1" s="65"/>
      <c r="D1" s="65"/>
      <c r="E1" s="2"/>
      <c r="F1" s="2"/>
      <c r="G1" s="1"/>
      <c r="H1" s="1"/>
      <c r="I1" s="3"/>
      <c r="J1" s="1"/>
      <c r="K1" s="1"/>
      <c r="L1" s="4"/>
      <c r="M1" s="30"/>
      <c r="N1" s="31"/>
      <c r="O1" s="66" t="s">
        <v>23</v>
      </c>
      <c r="P1" s="66"/>
      <c r="Q1" s="66"/>
    </row>
    <row r="2" spans="1:17" ht="26.25" x14ac:dyDescent="0.25">
      <c r="A2" s="67" t="s">
        <v>20</v>
      </c>
      <c r="B2" s="67"/>
      <c r="C2" s="67"/>
      <c r="D2" s="67"/>
      <c r="E2" s="68" t="s">
        <v>0</v>
      </c>
      <c r="F2" s="68"/>
      <c r="G2" s="68"/>
      <c r="H2" s="68"/>
      <c r="I2" s="68"/>
      <c r="J2" s="68"/>
      <c r="K2" s="68"/>
      <c r="L2" s="68"/>
      <c r="M2" s="31"/>
      <c r="N2" s="31"/>
      <c r="O2" s="66" t="s">
        <v>29</v>
      </c>
      <c r="P2" s="66"/>
      <c r="Q2" s="66"/>
    </row>
    <row r="3" spans="1:17" ht="18" customHeight="1" x14ac:dyDescent="0.25">
      <c r="A3" s="64" t="s">
        <v>19</v>
      </c>
      <c r="B3" s="64"/>
      <c r="C3" s="64"/>
      <c r="D3" s="64"/>
      <c r="E3" s="6"/>
      <c r="F3" s="34"/>
      <c r="G3" s="6"/>
      <c r="H3" s="6"/>
      <c r="I3" s="6"/>
      <c r="J3" s="6"/>
      <c r="K3" s="7"/>
      <c r="L3" s="5"/>
      <c r="M3" s="31"/>
      <c r="N3" s="31"/>
      <c r="O3" s="8"/>
      <c r="P3" s="8"/>
      <c r="Q3" s="1"/>
    </row>
    <row r="4" spans="1:17" x14ac:dyDescent="0.25">
      <c r="A4" s="9"/>
      <c r="B4" s="9"/>
      <c r="C4" s="9"/>
      <c r="D4" s="9"/>
      <c r="E4" s="10"/>
      <c r="F4" s="10"/>
      <c r="G4" s="10"/>
      <c r="H4" s="10"/>
      <c r="I4" s="10"/>
      <c r="J4" s="9"/>
      <c r="K4" s="10"/>
      <c r="L4" s="10"/>
      <c r="M4" s="9"/>
      <c r="N4" s="10"/>
      <c r="O4" s="10"/>
      <c r="P4" s="39"/>
      <c r="Q4" s="10"/>
    </row>
    <row r="5" spans="1:17" ht="63" x14ac:dyDescent="0.25">
      <c r="A5" s="12" t="s">
        <v>9</v>
      </c>
      <c r="B5" s="12" t="s">
        <v>6</v>
      </c>
      <c r="C5" s="12" t="s">
        <v>7</v>
      </c>
      <c r="D5" s="12" t="s">
        <v>8</v>
      </c>
      <c r="E5" s="12" t="s">
        <v>10</v>
      </c>
      <c r="F5" s="13" t="s">
        <v>18</v>
      </c>
      <c r="G5" s="13" t="s">
        <v>21</v>
      </c>
      <c r="H5" s="14" t="s">
        <v>22</v>
      </c>
      <c r="I5" s="12" t="s">
        <v>11</v>
      </c>
      <c r="J5" s="12" t="s">
        <v>1</v>
      </c>
      <c r="K5" s="12" t="s">
        <v>2</v>
      </c>
      <c r="L5" s="15" t="s">
        <v>15</v>
      </c>
      <c r="M5" s="32" t="s">
        <v>12</v>
      </c>
      <c r="N5" s="32" t="s">
        <v>16</v>
      </c>
      <c r="O5" s="12" t="s">
        <v>13</v>
      </c>
      <c r="P5" s="12" t="s">
        <v>14</v>
      </c>
      <c r="Q5" s="12" t="s">
        <v>17</v>
      </c>
    </row>
    <row r="6" spans="1:17" s="24" customFormat="1" ht="60" customHeight="1" x14ac:dyDescent="0.2">
      <c r="A6" s="17" t="s">
        <v>49</v>
      </c>
      <c r="B6" s="49" t="s">
        <v>43</v>
      </c>
      <c r="C6" s="37" t="s">
        <v>28</v>
      </c>
      <c r="D6" s="47" t="s">
        <v>26</v>
      </c>
      <c r="E6" s="37" t="s">
        <v>3</v>
      </c>
      <c r="F6" s="37" t="s">
        <v>24</v>
      </c>
      <c r="G6" s="38" t="s">
        <v>31</v>
      </c>
      <c r="H6" s="74" t="s">
        <v>32</v>
      </c>
      <c r="I6" s="72" t="str">
        <f>CONCATENATE("MTC-",G6,"-FT-", F6," ", H6)</f>
        <v>MTC-INC0053639319-FT-DEV EDO DE CUENTA - Seguimiento de incidente para generación, estado de cuenta 1Q2018_'INC0053639319</v>
      </c>
      <c r="J6" s="73" t="s">
        <v>47</v>
      </c>
      <c r="K6" s="76">
        <f ca="1">TODAY()</f>
        <v>43271</v>
      </c>
      <c r="L6" s="69" t="s">
        <v>4</v>
      </c>
      <c r="M6" s="71" t="s">
        <v>37</v>
      </c>
      <c r="N6" s="23" t="s">
        <v>42</v>
      </c>
      <c r="O6" s="22" t="s">
        <v>27</v>
      </c>
      <c r="P6" s="53" t="s">
        <v>5</v>
      </c>
      <c r="Q6" s="23"/>
    </row>
    <row r="7" spans="1:17" s="24" customFormat="1" ht="25.5" x14ac:dyDescent="0.2">
      <c r="A7" s="17"/>
      <c r="B7" s="49"/>
      <c r="C7" s="37"/>
      <c r="D7" s="47"/>
      <c r="E7" s="37"/>
      <c r="F7" s="37"/>
      <c r="G7" s="38"/>
      <c r="H7" s="37"/>
      <c r="I7" s="35"/>
      <c r="J7" s="63"/>
      <c r="K7" s="76">
        <f ca="1">TODAY()</f>
        <v>43271</v>
      </c>
      <c r="L7" s="69" t="s">
        <v>25</v>
      </c>
      <c r="M7" s="71" t="s">
        <v>38</v>
      </c>
      <c r="N7" s="70" t="s">
        <v>39</v>
      </c>
      <c r="O7" s="22" t="s">
        <v>57</v>
      </c>
      <c r="P7" s="53" t="s">
        <v>5</v>
      </c>
      <c r="Q7" s="23"/>
    </row>
    <row r="8" spans="1:17" s="24" customFormat="1" ht="44.25" customHeight="1" x14ac:dyDescent="0.2">
      <c r="A8" s="16"/>
      <c r="B8" s="41"/>
      <c r="C8" s="41"/>
      <c r="D8" s="47"/>
      <c r="E8" s="37"/>
      <c r="F8" s="37"/>
      <c r="G8" s="38"/>
      <c r="H8" s="11"/>
      <c r="I8" s="35"/>
      <c r="J8" s="56"/>
      <c r="K8" s="76">
        <f ca="1">TODAY()</f>
        <v>43271</v>
      </c>
      <c r="L8" s="69" t="s">
        <v>35</v>
      </c>
      <c r="M8" s="71" t="s">
        <v>40</v>
      </c>
      <c r="N8" s="23" t="s">
        <v>41</v>
      </c>
      <c r="O8" s="22" t="s">
        <v>58</v>
      </c>
      <c r="P8" s="53" t="s">
        <v>5</v>
      </c>
      <c r="Q8" s="23"/>
    </row>
    <row r="9" spans="1:17" s="24" customFormat="1" ht="57" customHeight="1" x14ac:dyDescent="0.2">
      <c r="A9" s="16"/>
      <c r="B9" s="16"/>
      <c r="C9" s="16"/>
      <c r="D9" s="16"/>
      <c r="E9" s="37"/>
      <c r="F9" s="37"/>
      <c r="G9" s="18"/>
      <c r="H9" s="11"/>
      <c r="I9" s="19"/>
      <c r="J9" s="25"/>
      <c r="K9" s="76">
        <f ca="1">TODAY()</f>
        <v>43271</v>
      </c>
      <c r="L9" s="69" t="s">
        <v>36</v>
      </c>
      <c r="M9" s="71" t="s">
        <v>56</v>
      </c>
      <c r="N9" s="70" t="s">
        <v>48</v>
      </c>
      <c r="O9" s="22" t="s">
        <v>59</v>
      </c>
      <c r="P9" s="53" t="s">
        <v>5</v>
      </c>
      <c r="Q9" s="23"/>
    </row>
    <row r="10" spans="1:17" s="24" customFormat="1" ht="99" customHeight="1" x14ac:dyDescent="0.2">
      <c r="A10" s="17" t="s">
        <v>50</v>
      </c>
      <c r="B10" s="41" t="s">
        <v>44</v>
      </c>
      <c r="C10" s="41" t="s">
        <v>28</v>
      </c>
      <c r="D10" s="47" t="s">
        <v>26</v>
      </c>
      <c r="E10" s="37" t="s">
        <v>3</v>
      </c>
      <c r="F10" s="37" t="s">
        <v>24</v>
      </c>
      <c r="G10" s="38" t="s">
        <v>31</v>
      </c>
      <c r="H10" s="75" t="s">
        <v>45</v>
      </c>
      <c r="I10" s="72" t="str">
        <f>CONCATENATE("MTC-",G10,"-FT-", F10," ", H10)</f>
        <v>MTC-INC0053639319-FT-DEV INFORME DE SALDO - Seguimiento de incidente para generación de informe de saldos 1Q2018_'INC0053639319</v>
      </c>
      <c r="J10" s="73" t="s">
        <v>46</v>
      </c>
      <c r="K10" s="76">
        <f ca="1">TODAY()</f>
        <v>43271</v>
      </c>
      <c r="L10" s="69" t="s">
        <v>4</v>
      </c>
      <c r="M10" s="71" t="s">
        <v>51</v>
      </c>
      <c r="N10" s="23" t="s">
        <v>55</v>
      </c>
      <c r="O10" s="22" t="s">
        <v>60</v>
      </c>
      <c r="P10" s="53" t="s">
        <v>5</v>
      </c>
      <c r="Q10" s="23"/>
    </row>
    <row r="11" spans="1:17" s="24" customFormat="1" ht="34.5" customHeight="1" x14ac:dyDescent="0.2">
      <c r="A11" s="16"/>
      <c r="B11" s="16"/>
      <c r="C11" s="16"/>
      <c r="D11" s="16"/>
      <c r="E11" s="17"/>
      <c r="F11" s="17"/>
      <c r="G11" s="18"/>
      <c r="H11" s="11"/>
      <c r="I11" s="19"/>
      <c r="J11" s="25"/>
      <c r="K11" s="76">
        <f ca="1">TODAY()</f>
        <v>43271</v>
      </c>
      <c r="L11" s="69" t="s">
        <v>25</v>
      </c>
      <c r="M11" s="71" t="s">
        <v>52</v>
      </c>
      <c r="N11" s="70" t="s">
        <v>54</v>
      </c>
      <c r="O11" s="22" t="s">
        <v>61</v>
      </c>
      <c r="P11" s="53" t="s">
        <v>5</v>
      </c>
      <c r="Q11" s="23"/>
    </row>
    <row r="12" spans="1:17" s="24" customFormat="1" ht="48" customHeight="1" x14ac:dyDescent="0.2">
      <c r="A12" s="16"/>
      <c r="B12" s="16"/>
      <c r="C12" s="16"/>
      <c r="D12" s="16"/>
      <c r="E12" s="17"/>
      <c r="F12" s="17"/>
      <c r="G12" s="18"/>
      <c r="H12" s="11"/>
      <c r="I12" s="19"/>
      <c r="J12" s="25"/>
      <c r="K12" s="76">
        <f ca="1">TODAY()</f>
        <v>43271</v>
      </c>
      <c r="L12" s="69" t="s">
        <v>35</v>
      </c>
      <c r="M12" s="71" t="s">
        <v>53</v>
      </c>
      <c r="N12" s="23" t="s">
        <v>64</v>
      </c>
      <c r="O12" s="22" t="s">
        <v>62</v>
      </c>
      <c r="P12" s="53" t="s">
        <v>5</v>
      </c>
      <c r="Q12" s="23"/>
    </row>
    <row r="13" spans="1:17" s="24" customFormat="1" ht="54.75" customHeight="1" x14ac:dyDescent="0.2">
      <c r="A13" s="16"/>
      <c r="B13" s="16"/>
      <c r="C13" s="16"/>
      <c r="D13" s="16"/>
      <c r="E13" s="17"/>
      <c r="F13" s="17"/>
      <c r="G13" s="18"/>
      <c r="H13" s="11"/>
      <c r="I13" s="19"/>
      <c r="J13" s="25"/>
      <c r="K13" s="76">
        <f ca="1">TODAY()</f>
        <v>43271</v>
      </c>
      <c r="L13" s="69" t="s">
        <v>36</v>
      </c>
      <c r="M13" s="71" t="s">
        <v>65</v>
      </c>
      <c r="N13" s="70" t="s">
        <v>66</v>
      </c>
      <c r="O13" s="22" t="s">
        <v>63</v>
      </c>
      <c r="P13" s="53" t="s">
        <v>5</v>
      </c>
      <c r="Q13" s="23"/>
    </row>
    <row r="14" spans="1:17" s="24" customFormat="1" x14ac:dyDescent="0.2">
      <c r="A14" s="44"/>
      <c r="B14" s="49"/>
      <c r="C14" s="60"/>
      <c r="D14" s="47"/>
      <c r="E14" s="60"/>
      <c r="F14" s="17"/>
      <c r="G14" s="48"/>
      <c r="H14" s="37"/>
      <c r="I14" s="35"/>
      <c r="J14" s="55"/>
      <c r="K14" s="20"/>
      <c r="L14" s="69"/>
      <c r="M14" s="50"/>
      <c r="N14" s="51"/>
      <c r="O14" s="22"/>
      <c r="P14" s="53"/>
      <c r="Q14" s="23"/>
    </row>
    <row r="15" spans="1:17" s="24" customFormat="1" x14ac:dyDescent="0.2">
      <c r="A15" s="44"/>
      <c r="B15" s="49"/>
      <c r="C15" s="60"/>
      <c r="D15" s="47"/>
      <c r="E15" s="60"/>
      <c r="F15" s="17"/>
      <c r="G15" s="48"/>
      <c r="H15" s="37"/>
      <c r="I15" s="35"/>
      <c r="J15" s="55"/>
      <c r="K15" s="54"/>
      <c r="L15" s="21"/>
      <c r="M15" s="50"/>
      <c r="N15" s="51"/>
      <c r="O15" s="22"/>
      <c r="P15" s="53"/>
      <c r="Q15" s="23"/>
    </row>
    <row r="16" spans="1:17" s="24" customFormat="1" x14ac:dyDescent="0.2">
      <c r="A16" s="16"/>
      <c r="B16" s="16"/>
      <c r="C16" s="16"/>
      <c r="D16" s="16"/>
      <c r="E16" s="17"/>
      <c r="F16" s="17"/>
      <c r="G16" s="18"/>
      <c r="H16" s="11"/>
      <c r="I16" s="19"/>
      <c r="J16" s="25"/>
      <c r="K16" s="20"/>
      <c r="L16" s="21"/>
      <c r="M16" s="50"/>
      <c r="N16" s="59"/>
      <c r="O16" s="22"/>
      <c r="P16" s="53"/>
      <c r="Q16" s="23"/>
    </row>
    <row r="17" spans="1:17" s="24" customFormat="1" x14ac:dyDescent="0.2">
      <c r="A17" s="16"/>
      <c r="B17" s="16"/>
      <c r="C17" s="16"/>
      <c r="D17" s="16"/>
      <c r="E17" s="17"/>
      <c r="F17" s="17"/>
      <c r="G17" s="18"/>
      <c r="H17" s="11"/>
      <c r="I17" s="19"/>
      <c r="J17" s="25"/>
      <c r="K17" s="20"/>
      <c r="L17" s="21"/>
      <c r="M17" s="50"/>
      <c r="N17" s="59"/>
      <c r="O17" s="22"/>
      <c r="P17" s="53"/>
      <c r="Q17" s="23"/>
    </row>
    <row r="18" spans="1:17" s="24" customFormat="1" x14ac:dyDescent="0.2">
      <c r="A18" s="16"/>
      <c r="B18" s="16"/>
      <c r="C18" s="16"/>
      <c r="D18" s="16"/>
      <c r="E18" s="17"/>
      <c r="F18" s="17"/>
      <c r="G18" s="18"/>
      <c r="H18" s="11"/>
      <c r="I18" s="19"/>
      <c r="J18" s="25"/>
      <c r="K18" s="20"/>
      <c r="L18" s="21"/>
      <c r="M18" s="50"/>
      <c r="N18" s="59"/>
      <c r="O18" s="22"/>
      <c r="P18" s="53"/>
      <c r="Q18" s="23"/>
    </row>
    <row r="19" spans="1:17" s="24" customFormat="1" x14ac:dyDescent="0.2">
      <c r="A19" s="16"/>
      <c r="B19" s="16"/>
      <c r="C19" s="16"/>
      <c r="D19" s="16"/>
      <c r="E19" s="17"/>
      <c r="F19" s="17"/>
      <c r="G19" s="18"/>
      <c r="H19" s="11"/>
      <c r="I19" s="19"/>
      <c r="J19" s="25"/>
      <c r="K19" s="20"/>
      <c r="L19" s="21"/>
      <c r="M19" s="50"/>
      <c r="N19" s="59"/>
      <c r="O19" s="22"/>
      <c r="P19" s="53"/>
      <c r="Q19" s="23"/>
    </row>
    <row r="20" spans="1:17" s="24" customFormat="1" x14ac:dyDescent="0.2">
      <c r="A20" s="16"/>
      <c r="B20" s="16"/>
      <c r="C20" s="16"/>
      <c r="D20" s="16"/>
      <c r="E20" s="17"/>
      <c r="F20" s="17"/>
      <c r="G20" s="18"/>
      <c r="H20" s="11"/>
      <c r="I20" s="19"/>
      <c r="J20" s="25"/>
      <c r="K20" s="20"/>
      <c r="L20" s="21"/>
      <c r="M20" s="50"/>
      <c r="N20" s="51"/>
      <c r="O20" s="22"/>
      <c r="P20" s="53"/>
      <c r="Q20" s="23"/>
    </row>
    <row r="21" spans="1:17" s="24" customFormat="1" x14ac:dyDescent="0.2">
      <c r="A21" s="16"/>
      <c r="B21" s="16"/>
      <c r="C21" s="16"/>
      <c r="D21" s="16"/>
      <c r="E21" s="17"/>
      <c r="F21" s="17"/>
      <c r="G21" s="18"/>
      <c r="H21" s="11"/>
      <c r="I21" s="19"/>
      <c r="J21" s="25"/>
      <c r="K21" s="20"/>
      <c r="L21" s="21"/>
      <c r="M21" s="50"/>
      <c r="N21" s="51"/>
      <c r="O21" s="22"/>
      <c r="P21" s="53"/>
      <c r="Q21" s="23"/>
    </row>
    <row r="22" spans="1:17" s="24" customFormat="1" x14ac:dyDescent="0.2">
      <c r="A22" s="16"/>
      <c r="B22" s="16"/>
      <c r="C22" s="16"/>
      <c r="D22" s="16"/>
      <c r="E22" s="17"/>
      <c r="F22" s="17"/>
      <c r="G22" s="18"/>
      <c r="H22" s="11"/>
      <c r="I22" s="19"/>
      <c r="J22" s="25"/>
      <c r="K22" s="20"/>
      <c r="L22" s="21"/>
      <c r="M22" s="50"/>
      <c r="N22" s="59"/>
      <c r="O22" s="22"/>
      <c r="P22" s="53"/>
      <c r="Q22" s="23"/>
    </row>
    <row r="23" spans="1:17" s="24" customFormat="1" x14ac:dyDescent="0.2">
      <c r="A23" s="44"/>
      <c r="B23" s="49"/>
      <c r="C23" s="60"/>
      <c r="D23" s="47"/>
      <c r="E23" s="60"/>
      <c r="F23" s="17"/>
      <c r="G23" s="48"/>
      <c r="H23" s="37"/>
      <c r="I23" s="35"/>
      <c r="J23" s="55"/>
      <c r="K23" s="54"/>
      <c r="L23" s="21"/>
      <c r="M23" s="50"/>
      <c r="N23" s="51"/>
      <c r="O23" s="22"/>
      <c r="P23" s="53"/>
      <c r="Q23" s="23"/>
    </row>
    <row r="24" spans="1:17" s="24" customFormat="1" x14ac:dyDescent="0.2">
      <c r="A24" s="44"/>
      <c r="B24" s="49"/>
      <c r="C24" s="27"/>
      <c r="D24" s="47"/>
      <c r="E24" s="27"/>
      <c r="F24" s="17"/>
      <c r="G24" s="48"/>
      <c r="H24" s="37"/>
      <c r="I24" s="35"/>
      <c r="J24" s="55"/>
      <c r="K24" s="54"/>
      <c r="L24" s="21"/>
      <c r="M24" s="50"/>
      <c r="N24" s="51"/>
      <c r="O24" s="22"/>
      <c r="P24" s="53"/>
      <c r="Q24" s="23"/>
    </row>
    <row r="25" spans="1:17" s="24" customFormat="1" x14ac:dyDescent="0.2">
      <c r="A25" s="44"/>
      <c r="B25" s="49"/>
      <c r="C25" s="27"/>
      <c r="D25" s="47"/>
      <c r="E25" s="27"/>
      <c r="F25" s="17"/>
      <c r="G25" s="48"/>
      <c r="H25" s="37"/>
      <c r="I25" s="35"/>
      <c r="J25" s="55"/>
      <c r="K25" s="54"/>
      <c r="L25" s="21"/>
      <c r="M25" s="50"/>
      <c r="N25" s="51"/>
      <c r="O25" s="22"/>
      <c r="P25" s="53"/>
      <c r="Q25" s="23"/>
    </row>
    <row r="26" spans="1:17" s="24" customFormat="1" x14ac:dyDescent="0.2">
      <c r="A26" s="44"/>
      <c r="B26" s="49"/>
      <c r="C26" s="27"/>
      <c r="D26" s="47"/>
      <c r="E26" s="27"/>
      <c r="F26" s="17"/>
      <c r="G26" s="48"/>
      <c r="H26" s="37"/>
      <c r="I26" s="35"/>
      <c r="J26" s="55"/>
      <c r="K26" s="54"/>
      <c r="L26" s="21"/>
      <c r="M26" s="50"/>
      <c r="N26" s="51"/>
      <c r="O26" s="22"/>
      <c r="P26" s="53"/>
      <c r="Q26" s="23"/>
    </row>
    <row r="27" spans="1:17" s="24" customFormat="1" x14ac:dyDescent="0.2">
      <c r="A27" s="44"/>
      <c r="B27" s="49"/>
      <c r="C27" s="27"/>
      <c r="D27" s="47"/>
      <c r="E27" s="27"/>
      <c r="F27" s="17"/>
      <c r="G27" s="48"/>
      <c r="H27" s="37"/>
      <c r="I27" s="35"/>
      <c r="J27" s="55"/>
      <c r="K27" s="54"/>
      <c r="L27" s="21"/>
      <c r="M27" s="50"/>
      <c r="N27" s="51"/>
      <c r="O27" s="22"/>
      <c r="P27" s="53"/>
      <c r="Q27" s="23"/>
    </row>
    <row r="28" spans="1:17" s="24" customFormat="1" x14ac:dyDescent="0.2">
      <c r="A28" s="44"/>
      <c r="B28" s="49"/>
      <c r="C28" s="43"/>
      <c r="D28" s="47"/>
      <c r="E28" s="43"/>
      <c r="F28" s="17"/>
      <c r="G28" s="48"/>
      <c r="H28" s="37"/>
      <c r="I28" s="35"/>
      <c r="J28" s="55"/>
      <c r="K28" s="54"/>
      <c r="L28" s="21"/>
      <c r="M28" s="50"/>
      <c r="N28" s="51"/>
      <c r="O28" s="22"/>
      <c r="P28" s="53"/>
      <c r="Q28" s="23"/>
    </row>
    <row r="29" spans="1:17" s="24" customFormat="1" x14ac:dyDescent="0.2">
      <c r="A29" s="16"/>
      <c r="B29" s="16"/>
      <c r="C29" s="16"/>
      <c r="D29" s="16"/>
      <c r="E29" s="17"/>
      <c r="F29" s="17"/>
      <c r="G29" s="18"/>
      <c r="H29" s="11"/>
      <c r="I29" s="19"/>
      <c r="J29" s="25"/>
      <c r="K29" s="20"/>
      <c r="L29" s="21"/>
      <c r="M29" s="50"/>
      <c r="N29" s="59"/>
      <c r="O29" s="22"/>
      <c r="P29" s="53"/>
      <c r="Q29" s="23"/>
    </row>
    <row r="30" spans="1:17" s="24" customFormat="1" x14ac:dyDescent="0.2">
      <c r="A30" s="16"/>
      <c r="B30" s="16"/>
      <c r="C30" s="16"/>
      <c r="D30" s="16"/>
      <c r="E30" s="17"/>
      <c r="F30" s="17"/>
      <c r="G30" s="18"/>
      <c r="H30" s="11"/>
      <c r="I30" s="19"/>
      <c r="J30" s="25"/>
      <c r="K30" s="20"/>
      <c r="L30" s="21"/>
      <c r="M30" s="50"/>
      <c r="N30" s="59"/>
      <c r="O30" s="22"/>
      <c r="P30" s="53"/>
      <c r="Q30" s="23"/>
    </row>
    <row r="31" spans="1:17" s="24" customFormat="1" x14ac:dyDescent="0.2">
      <c r="A31" s="16"/>
      <c r="B31" s="16"/>
      <c r="C31" s="16"/>
      <c r="D31" s="16"/>
      <c r="E31" s="17"/>
      <c r="F31" s="17"/>
      <c r="G31" s="18"/>
      <c r="H31" s="11"/>
      <c r="I31" s="19"/>
      <c r="J31" s="25"/>
      <c r="K31" s="20"/>
      <c r="L31" s="21"/>
      <c r="M31" s="50"/>
      <c r="N31" s="59"/>
      <c r="O31" s="22"/>
      <c r="P31" s="53"/>
      <c r="Q31" s="23"/>
    </row>
    <row r="32" spans="1:17" s="24" customFormat="1" x14ac:dyDescent="0.2">
      <c r="A32" s="16"/>
      <c r="B32" s="16"/>
      <c r="C32" s="16"/>
      <c r="D32" s="16"/>
      <c r="E32" s="17"/>
      <c r="F32" s="17"/>
      <c r="G32" s="18"/>
      <c r="H32" s="11"/>
      <c r="I32" s="19"/>
      <c r="J32" s="25"/>
      <c r="K32" s="20"/>
      <c r="L32" s="21"/>
      <c r="M32" s="50"/>
      <c r="N32" s="59"/>
      <c r="O32" s="22"/>
      <c r="P32" s="53"/>
      <c r="Q32" s="23"/>
    </row>
    <row r="33" spans="1:17" s="24" customFormat="1" x14ac:dyDescent="0.2">
      <c r="A33" s="16"/>
      <c r="B33" s="16"/>
      <c r="C33" s="16"/>
      <c r="D33" s="16"/>
      <c r="E33" s="17"/>
      <c r="F33" s="17"/>
      <c r="G33" s="18"/>
      <c r="H33" s="11"/>
      <c r="I33" s="19"/>
      <c r="J33" s="25"/>
      <c r="K33" s="20"/>
      <c r="L33" s="21"/>
      <c r="M33" s="50"/>
      <c r="N33" s="59"/>
      <c r="O33" s="22"/>
      <c r="P33" s="53"/>
      <c r="Q33" s="23"/>
    </row>
    <row r="34" spans="1:17" s="24" customFormat="1" x14ac:dyDescent="0.2">
      <c r="A34" s="44"/>
      <c r="B34" s="49"/>
      <c r="C34" s="45"/>
      <c r="D34" s="57"/>
      <c r="E34" s="57"/>
      <c r="F34" s="57"/>
      <c r="G34" s="58"/>
      <c r="H34" s="37"/>
      <c r="I34" s="35"/>
      <c r="J34" s="56"/>
      <c r="K34" s="54"/>
      <c r="L34" s="21"/>
      <c r="M34" s="50"/>
      <c r="N34" s="51"/>
      <c r="O34" s="22"/>
      <c r="P34" s="53"/>
      <c r="Q34" s="23"/>
    </row>
    <row r="35" spans="1:17" s="24" customFormat="1" x14ac:dyDescent="0.2">
      <c r="A35" s="44"/>
      <c r="B35" s="49"/>
      <c r="C35" s="45"/>
      <c r="D35" s="57"/>
      <c r="E35" s="57"/>
      <c r="F35" s="57"/>
      <c r="G35" s="58"/>
      <c r="H35" s="37"/>
      <c r="I35" s="35"/>
      <c r="J35" s="56"/>
      <c r="K35" s="54"/>
      <c r="L35" s="21"/>
      <c r="M35" s="50"/>
      <c r="N35" s="51"/>
      <c r="O35" s="22"/>
      <c r="P35" s="53"/>
      <c r="Q35" s="23"/>
    </row>
    <row r="36" spans="1:17" s="24" customFormat="1" x14ac:dyDescent="0.2">
      <c r="A36" s="44"/>
      <c r="B36" s="49"/>
      <c r="C36" s="45"/>
      <c r="D36" s="57"/>
      <c r="E36" s="57"/>
      <c r="F36" s="57"/>
      <c r="G36" s="58"/>
      <c r="H36" s="37"/>
      <c r="I36" s="35"/>
      <c r="J36" s="56"/>
      <c r="K36" s="54"/>
      <c r="L36" s="21"/>
      <c r="M36" s="50"/>
      <c r="N36" s="51"/>
      <c r="O36" s="22"/>
      <c r="P36" s="53"/>
      <c r="Q36" s="23"/>
    </row>
    <row r="37" spans="1:17" s="24" customFormat="1" x14ac:dyDescent="0.2">
      <c r="A37" s="44"/>
      <c r="B37" s="49"/>
      <c r="C37" s="45"/>
      <c r="D37" s="57"/>
      <c r="E37" s="57"/>
      <c r="F37" s="57"/>
      <c r="G37" s="58"/>
      <c r="H37" s="37"/>
      <c r="I37" s="35"/>
      <c r="J37" s="56"/>
      <c r="K37" s="54"/>
      <c r="L37" s="21"/>
      <c r="M37" s="50"/>
      <c r="N37" s="59"/>
      <c r="O37" s="22"/>
      <c r="P37" s="53"/>
      <c r="Q37" s="23"/>
    </row>
    <row r="38" spans="1:17" s="24" customFormat="1" x14ac:dyDescent="0.2">
      <c r="A38" s="44"/>
      <c r="B38" s="49"/>
      <c r="C38" s="45"/>
      <c r="D38" s="57"/>
      <c r="E38" s="57"/>
      <c r="F38" s="57"/>
      <c r="G38" s="58"/>
      <c r="H38" s="45"/>
      <c r="I38" s="45"/>
      <c r="J38" s="46"/>
      <c r="K38" s="54"/>
      <c r="L38" s="21"/>
      <c r="M38" s="50"/>
      <c r="N38" s="59"/>
      <c r="O38" s="22"/>
      <c r="P38" s="53"/>
      <c r="Q38" s="23"/>
    </row>
    <row r="39" spans="1:17" s="24" customFormat="1" x14ac:dyDescent="0.2">
      <c r="A39" s="44"/>
      <c r="B39" s="49"/>
      <c r="C39" s="45"/>
      <c r="D39" s="57"/>
      <c r="E39" s="57"/>
      <c r="F39" s="57"/>
      <c r="G39" s="58"/>
      <c r="H39" s="45"/>
      <c r="I39" s="45"/>
      <c r="J39" s="46"/>
      <c r="K39" s="54"/>
      <c r="L39" s="21"/>
      <c r="M39" s="50"/>
      <c r="N39" s="59"/>
      <c r="O39" s="22"/>
      <c r="P39" s="53"/>
      <c r="Q39" s="23"/>
    </row>
    <row r="40" spans="1:17" s="24" customFormat="1" x14ac:dyDescent="0.2">
      <c r="A40" s="16"/>
      <c r="B40" s="16"/>
      <c r="C40" s="16"/>
      <c r="D40" s="16"/>
      <c r="E40" s="17"/>
      <c r="F40" s="17"/>
      <c r="G40" s="18"/>
      <c r="H40" s="11"/>
      <c r="I40" s="19"/>
      <c r="J40" s="25"/>
      <c r="K40" s="20"/>
      <c r="L40" s="21"/>
      <c r="M40" s="50"/>
      <c r="N40" s="59"/>
      <c r="O40" s="22"/>
      <c r="P40" s="53"/>
      <c r="Q40" s="23"/>
    </row>
    <row r="41" spans="1:17" x14ac:dyDescent="0.25">
      <c r="A41" s="16"/>
      <c r="B41" s="49"/>
      <c r="C41" s="45"/>
      <c r="D41" s="57"/>
      <c r="E41" s="57"/>
      <c r="F41" s="57"/>
      <c r="G41" s="58"/>
      <c r="H41" s="37"/>
      <c r="I41" s="35"/>
      <c r="J41" s="61"/>
      <c r="K41" s="54"/>
      <c r="L41" s="21"/>
      <c r="M41" s="50"/>
      <c r="N41" s="51"/>
      <c r="O41" s="22"/>
      <c r="P41" s="53"/>
      <c r="Q41" s="23"/>
    </row>
    <row r="42" spans="1:17" x14ac:dyDescent="0.25">
      <c r="A42" s="36"/>
      <c r="B42" s="49"/>
      <c r="C42" s="45"/>
      <c r="D42" s="57"/>
      <c r="E42" s="57"/>
      <c r="F42" s="57"/>
      <c r="G42" s="58"/>
      <c r="H42" s="45"/>
      <c r="I42" s="45"/>
      <c r="J42" s="46"/>
      <c r="K42" s="54"/>
      <c r="L42" s="21"/>
      <c r="M42" s="50"/>
      <c r="N42" s="59"/>
      <c r="O42" s="22"/>
      <c r="P42" s="53"/>
      <c r="Q42" s="23"/>
    </row>
    <row r="43" spans="1:17" x14ac:dyDescent="0.25">
      <c r="A43" s="16"/>
      <c r="B43" s="16"/>
      <c r="C43" s="16"/>
      <c r="D43" s="16"/>
      <c r="E43" s="37"/>
      <c r="F43" s="37"/>
      <c r="G43" s="18"/>
      <c r="H43" s="11"/>
      <c r="I43" s="19"/>
      <c r="J43" s="25"/>
      <c r="K43" s="20"/>
      <c r="L43" s="21"/>
      <c r="M43" s="50"/>
      <c r="N43" s="59"/>
      <c r="O43" s="22"/>
      <c r="P43" s="42"/>
      <c r="Q43" s="23"/>
    </row>
    <row r="44" spans="1:17" x14ac:dyDescent="0.25">
      <c r="A44" s="16"/>
      <c r="B44" s="49"/>
      <c r="C44" s="45"/>
      <c r="D44" s="57"/>
      <c r="E44" s="57"/>
      <c r="F44" s="57"/>
      <c r="G44" s="58"/>
      <c r="H44" s="37"/>
      <c r="I44" s="35"/>
      <c r="J44" s="61"/>
      <c r="K44" s="54"/>
      <c r="L44" s="21"/>
      <c r="M44" s="50"/>
      <c r="N44" s="51"/>
      <c r="O44" s="22"/>
      <c r="P44" s="53"/>
      <c r="Q44" s="23"/>
    </row>
    <row r="45" spans="1:17" x14ac:dyDescent="0.25">
      <c r="A45" s="16"/>
      <c r="B45" s="49"/>
      <c r="C45" s="45"/>
      <c r="D45" s="45"/>
      <c r="E45" s="45"/>
      <c r="F45" s="45"/>
      <c r="G45" s="52"/>
      <c r="H45" s="45"/>
      <c r="I45" s="45"/>
      <c r="J45" s="46"/>
      <c r="K45" s="54"/>
      <c r="L45" s="21"/>
      <c r="M45" s="50"/>
      <c r="N45" s="59"/>
      <c r="O45" s="22"/>
      <c r="P45" s="53"/>
      <c r="Q45" s="23"/>
    </row>
    <row r="46" spans="1:17" x14ac:dyDescent="0.25">
      <c r="A46" s="16"/>
      <c r="B46" s="49"/>
      <c r="C46" s="45"/>
      <c r="D46" s="57"/>
      <c r="E46" s="57"/>
      <c r="F46" s="57"/>
      <c r="G46" s="58"/>
      <c r="H46" s="37"/>
      <c r="I46" s="35"/>
      <c r="J46" s="56"/>
      <c r="K46" s="54"/>
      <c r="L46" s="21"/>
      <c r="M46" s="50"/>
      <c r="N46" s="59"/>
      <c r="O46" s="22"/>
      <c r="P46" s="42"/>
      <c r="Q46" s="23"/>
    </row>
    <row r="47" spans="1:17" x14ac:dyDescent="0.25">
      <c r="A47" s="16"/>
      <c r="B47" s="49"/>
      <c r="C47" s="45"/>
      <c r="D47" s="57"/>
      <c r="E47" s="57"/>
      <c r="F47" s="57"/>
      <c r="G47" s="58"/>
      <c r="H47" s="37"/>
      <c r="I47" s="35"/>
      <c r="J47" s="56"/>
      <c r="K47" s="54"/>
      <c r="L47" s="21"/>
      <c r="M47" s="50"/>
      <c r="N47" s="51"/>
      <c r="O47" s="22"/>
      <c r="P47" s="42"/>
      <c r="Q47" s="23"/>
    </row>
    <row r="48" spans="1:17" x14ac:dyDescent="0.25">
      <c r="A48" s="16"/>
      <c r="B48" s="49"/>
      <c r="C48" s="45"/>
      <c r="D48" s="57"/>
      <c r="E48" s="57"/>
      <c r="F48" s="57"/>
      <c r="G48" s="58"/>
      <c r="H48" s="37"/>
      <c r="I48" s="35"/>
      <c r="J48" s="56"/>
      <c r="K48" s="54"/>
      <c r="L48" s="21"/>
      <c r="M48" s="50"/>
      <c r="N48" s="51"/>
      <c r="O48" s="22"/>
      <c r="P48" s="42"/>
      <c r="Q48" s="23"/>
    </row>
    <row r="49" spans="1:17" x14ac:dyDescent="0.25">
      <c r="A49" s="16"/>
      <c r="B49" s="49"/>
      <c r="C49" s="45"/>
      <c r="D49" s="57"/>
      <c r="E49" s="57"/>
      <c r="F49" s="57"/>
      <c r="G49" s="58"/>
      <c r="H49" s="37"/>
      <c r="I49" s="35"/>
      <c r="J49" s="56"/>
      <c r="K49" s="54"/>
      <c r="L49" s="21"/>
      <c r="M49" s="50"/>
      <c r="N49" s="51"/>
      <c r="O49" s="22"/>
      <c r="P49" s="42"/>
      <c r="Q49" s="23"/>
    </row>
    <row r="50" spans="1:17" x14ac:dyDescent="0.25">
      <c r="A50" s="16"/>
      <c r="B50" s="49"/>
      <c r="C50" s="45"/>
      <c r="D50" s="57"/>
      <c r="E50" s="57"/>
      <c r="F50" s="57"/>
      <c r="G50" s="58"/>
      <c r="H50" s="37"/>
      <c r="I50" s="35"/>
      <c r="J50" s="56"/>
      <c r="K50" s="54"/>
      <c r="L50" s="21"/>
      <c r="M50" s="50"/>
      <c r="N50" s="51"/>
      <c r="O50" s="22"/>
      <c r="P50" s="42"/>
      <c r="Q50" s="23"/>
    </row>
    <row r="51" spans="1:17" x14ac:dyDescent="0.25">
      <c r="A51" s="16"/>
      <c r="B51" s="49"/>
      <c r="C51" s="45"/>
      <c r="D51" s="57"/>
      <c r="E51" s="57"/>
      <c r="F51" s="57"/>
      <c r="G51" s="58"/>
      <c r="H51" s="37"/>
      <c r="I51" s="35"/>
      <c r="J51" s="56"/>
      <c r="K51" s="54"/>
      <c r="L51" s="21"/>
      <c r="M51" s="50"/>
      <c r="N51" s="51"/>
      <c r="O51" s="22"/>
      <c r="P51" s="42"/>
      <c r="Q51" s="23"/>
    </row>
    <row r="52" spans="1:17" x14ac:dyDescent="0.25">
      <c r="A52" s="16"/>
      <c r="B52" s="49"/>
      <c r="C52" s="45"/>
      <c r="D52" s="57"/>
      <c r="E52" s="57"/>
      <c r="F52" s="57"/>
      <c r="G52" s="58"/>
      <c r="H52" s="37"/>
      <c r="I52" s="35"/>
      <c r="J52" s="56"/>
      <c r="K52" s="54"/>
      <c r="L52" s="21"/>
      <c r="M52" s="50"/>
      <c r="N52" s="51"/>
      <c r="O52" s="22"/>
      <c r="P52" s="42"/>
      <c r="Q52" s="23"/>
    </row>
    <row r="53" spans="1:17" x14ac:dyDescent="0.25">
      <c r="A53" s="16"/>
      <c r="B53" s="49"/>
      <c r="C53" s="45"/>
      <c r="D53" s="57"/>
      <c r="E53" s="57"/>
      <c r="F53" s="57"/>
      <c r="G53" s="58"/>
      <c r="H53" s="37"/>
      <c r="I53" s="35"/>
      <c r="J53" s="56"/>
      <c r="K53" s="54"/>
      <c r="L53" s="21"/>
      <c r="M53" s="59"/>
      <c r="N53" s="59"/>
      <c r="O53" s="22"/>
      <c r="P53" s="62"/>
      <c r="Q53" s="23"/>
    </row>
    <row r="54" spans="1:17" x14ac:dyDescent="0.25">
      <c r="A54" s="16"/>
      <c r="B54" s="49"/>
      <c r="C54" s="45"/>
      <c r="D54" s="57"/>
      <c r="E54" s="57"/>
      <c r="F54" s="57"/>
      <c r="G54" s="58"/>
      <c r="H54" s="37"/>
      <c r="I54" s="35"/>
      <c r="J54" s="56"/>
      <c r="K54" s="54"/>
      <c r="L54" s="21"/>
      <c r="M54" s="59"/>
      <c r="N54" s="51"/>
      <c r="O54" s="22"/>
      <c r="P54" s="62"/>
      <c r="Q54" s="23"/>
    </row>
    <row r="55" spans="1:17" x14ac:dyDescent="0.25">
      <c r="A55" s="16"/>
      <c r="B55" s="49"/>
      <c r="C55" s="45"/>
      <c r="D55" s="57"/>
      <c r="E55" s="57"/>
      <c r="F55" s="57"/>
      <c r="G55" s="58"/>
      <c r="H55" s="56"/>
      <c r="I55" s="35"/>
      <c r="J55" s="56"/>
      <c r="K55" s="54"/>
      <c r="L55" s="21"/>
      <c r="M55" s="50"/>
      <c r="N55" s="51"/>
      <c r="O55" s="22"/>
      <c r="P55" s="62"/>
      <c r="Q55" s="23"/>
    </row>
    <row r="56" spans="1:17" x14ac:dyDescent="0.25">
      <c r="A56" s="16"/>
      <c r="B56" s="49"/>
      <c r="C56" s="45"/>
      <c r="D56" s="57"/>
      <c r="E56" s="57"/>
      <c r="F56" s="57"/>
      <c r="G56" s="58"/>
      <c r="H56" s="37"/>
      <c r="I56" s="35"/>
      <c r="J56" s="56"/>
      <c r="K56" s="54"/>
      <c r="L56" s="21"/>
      <c r="M56" s="50"/>
      <c r="N56" s="51"/>
      <c r="O56" s="22"/>
      <c r="P56" s="62"/>
      <c r="Q56" s="23"/>
    </row>
    <row r="57" spans="1:17" x14ac:dyDescent="0.25">
      <c r="A57" s="16"/>
      <c r="B57" s="49"/>
      <c r="C57" s="45"/>
      <c r="D57" s="57"/>
      <c r="E57" s="57"/>
      <c r="F57" s="57"/>
      <c r="G57" s="58"/>
      <c r="H57" s="37"/>
      <c r="I57" s="35"/>
      <c r="J57" s="56"/>
      <c r="K57" s="54"/>
      <c r="L57" s="21"/>
      <c r="M57" s="50"/>
      <c r="N57" s="51"/>
      <c r="O57" s="22"/>
      <c r="P57" s="62"/>
      <c r="Q57" s="23"/>
    </row>
    <row r="58" spans="1:17" x14ac:dyDescent="0.25">
      <c r="A58" s="16"/>
      <c r="B58" s="49"/>
      <c r="C58" s="45"/>
      <c r="D58" s="57"/>
      <c r="E58" s="57"/>
      <c r="F58" s="57"/>
      <c r="G58" s="58"/>
      <c r="H58" s="37"/>
      <c r="I58" s="35"/>
      <c r="J58" s="56"/>
      <c r="K58" s="54"/>
      <c r="L58" s="21"/>
      <c r="M58" s="50"/>
      <c r="N58" s="59"/>
      <c r="O58" s="22"/>
      <c r="P58" s="62"/>
      <c r="Q58" s="23"/>
    </row>
    <row r="59" spans="1:17" x14ac:dyDescent="0.25">
      <c r="A59" s="16"/>
      <c r="B59" s="49"/>
      <c r="C59" s="45"/>
      <c r="D59" s="57"/>
      <c r="E59" s="57"/>
      <c r="F59" s="57"/>
      <c r="G59" s="58"/>
      <c r="H59" s="56"/>
      <c r="I59" s="35"/>
      <c r="J59" s="56"/>
      <c r="K59" s="54"/>
      <c r="L59" s="21"/>
      <c r="M59" s="50"/>
      <c r="N59" s="51"/>
      <c r="O59" s="22"/>
      <c r="P59" s="62"/>
      <c r="Q59" s="23"/>
    </row>
    <row r="60" spans="1:17" x14ac:dyDescent="0.25">
      <c r="A60" s="16"/>
      <c r="B60" s="49"/>
      <c r="C60" s="45"/>
      <c r="D60" s="57"/>
      <c r="E60" s="57"/>
      <c r="F60" s="57"/>
      <c r="G60" s="58"/>
      <c r="H60" s="37"/>
      <c r="I60" s="35"/>
      <c r="J60" s="56"/>
      <c r="K60" s="54"/>
      <c r="L60" s="21"/>
      <c r="M60" s="50"/>
      <c r="N60" s="51"/>
      <c r="O60" s="22"/>
      <c r="P60" s="62"/>
      <c r="Q60" s="23"/>
    </row>
    <row r="61" spans="1:17" x14ac:dyDescent="0.25">
      <c r="P61" s="42"/>
    </row>
    <row r="62" spans="1:17" x14ac:dyDescent="0.25">
      <c r="P62" s="42"/>
    </row>
    <row r="63" spans="1:17" x14ac:dyDescent="0.25">
      <c r="P63" s="42"/>
    </row>
    <row r="64" spans="1:17" x14ac:dyDescent="0.25">
      <c r="P64" s="42"/>
    </row>
    <row r="65" spans="16:16" x14ac:dyDescent="0.25">
      <c r="P65" s="42"/>
    </row>
    <row r="66" spans="16:16" x14ac:dyDescent="0.25">
      <c r="P66" s="42"/>
    </row>
    <row r="67" spans="16:16" x14ac:dyDescent="0.25">
      <c r="P67" s="42"/>
    </row>
    <row r="68" spans="16:16" x14ac:dyDescent="0.25">
      <c r="P68" s="42"/>
    </row>
    <row r="69" spans="16:16" x14ac:dyDescent="0.25">
      <c r="P69" s="42"/>
    </row>
    <row r="70" spans="16:16" x14ac:dyDescent="0.25">
      <c r="P70" s="42"/>
    </row>
    <row r="71" spans="16:16" x14ac:dyDescent="0.25">
      <c r="P71" s="42"/>
    </row>
    <row r="72" spans="16:16" x14ac:dyDescent="0.25">
      <c r="P72" s="42"/>
    </row>
    <row r="73" spans="16:16" x14ac:dyDescent="0.25">
      <c r="P73" s="42"/>
    </row>
    <row r="74" spans="16:16" x14ac:dyDescent="0.25">
      <c r="P74" s="42"/>
    </row>
    <row r="75" spans="16:16" x14ac:dyDescent="0.25">
      <c r="P75" s="42"/>
    </row>
    <row r="76" spans="16:16" x14ac:dyDescent="0.25">
      <c r="P76" s="42"/>
    </row>
    <row r="77" spans="16:16" x14ac:dyDescent="0.25">
      <c r="P77" s="42"/>
    </row>
    <row r="78" spans="16:16" x14ac:dyDescent="0.25">
      <c r="P78" s="42"/>
    </row>
    <row r="79" spans="16:16" x14ac:dyDescent="0.25">
      <c r="P79" s="42"/>
    </row>
    <row r="80" spans="16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2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2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  <row r="208" spans="16:16" x14ac:dyDescent="0.25">
      <c r="P208" s="42"/>
    </row>
    <row r="209" spans="16:16" x14ac:dyDescent="0.25">
      <c r="P209" s="42"/>
    </row>
    <row r="210" spans="16:16" x14ac:dyDescent="0.25">
      <c r="P210" s="42"/>
    </row>
    <row r="211" spans="16:16" x14ac:dyDescent="0.25">
      <c r="P211" s="42"/>
    </row>
    <row r="212" spans="16:16" x14ac:dyDescent="0.25">
      <c r="P212" s="42"/>
    </row>
    <row r="213" spans="16:16" x14ac:dyDescent="0.25">
      <c r="P213" s="42"/>
    </row>
    <row r="214" spans="16:16" x14ac:dyDescent="0.25">
      <c r="P214" s="42"/>
    </row>
    <row r="215" spans="16:16" x14ac:dyDescent="0.25">
      <c r="P215" s="42"/>
    </row>
    <row r="216" spans="16:16" x14ac:dyDescent="0.25">
      <c r="P216" s="42"/>
    </row>
    <row r="217" spans="16:16" x14ac:dyDescent="0.25">
      <c r="P217" s="42"/>
    </row>
    <row r="218" spans="16:16" x14ac:dyDescent="0.25">
      <c r="P218" s="42"/>
    </row>
    <row r="219" spans="16:16" x14ac:dyDescent="0.25">
      <c r="P219" s="42"/>
    </row>
    <row r="220" spans="16:16" x14ac:dyDescent="0.25">
      <c r="P220" s="42"/>
    </row>
    <row r="221" spans="16:16" x14ac:dyDescent="0.25">
      <c r="P221" s="42"/>
    </row>
    <row r="222" spans="16:16" x14ac:dyDescent="0.25">
      <c r="P222" s="42"/>
    </row>
    <row r="223" spans="16:16" x14ac:dyDescent="0.25">
      <c r="P223" s="42"/>
    </row>
    <row r="224" spans="16:16" x14ac:dyDescent="0.25">
      <c r="P224" s="42"/>
    </row>
    <row r="225" spans="16:16" x14ac:dyDescent="0.25">
      <c r="P225" s="42"/>
    </row>
    <row r="226" spans="16:16" x14ac:dyDescent="0.25">
      <c r="P226" s="42"/>
    </row>
    <row r="227" spans="16:16" x14ac:dyDescent="0.25">
      <c r="P227" s="42"/>
    </row>
    <row r="228" spans="16:16" x14ac:dyDescent="0.25">
      <c r="P228" s="42"/>
    </row>
    <row r="229" spans="16:16" x14ac:dyDescent="0.25">
      <c r="P229" s="42"/>
    </row>
    <row r="230" spans="16:16" x14ac:dyDescent="0.25">
      <c r="P230" s="42"/>
    </row>
    <row r="231" spans="16:16" x14ac:dyDescent="0.25">
      <c r="P231" s="42"/>
    </row>
    <row r="232" spans="16:16" x14ac:dyDescent="0.25">
      <c r="P232" s="42"/>
    </row>
    <row r="233" spans="16:16" x14ac:dyDescent="0.25">
      <c r="P233" s="42"/>
    </row>
    <row r="234" spans="16:16" x14ac:dyDescent="0.25">
      <c r="P234" s="42"/>
    </row>
    <row r="235" spans="16:16" x14ac:dyDescent="0.25">
      <c r="P235" s="42"/>
    </row>
    <row r="236" spans="16:16" x14ac:dyDescent="0.25">
      <c r="P236" s="42"/>
    </row>
    <row r="237" spans="16:16" x14ac:dyDescent="0.25">
      <c r="P237" s="42"/>
    </row>
    <row r="238" spans="16:16" x14ac:dyDescent="0.25">
      <c r="P238" s="42"/>
    </row>
    <row r="239" spans="16:16" x14ac:dyDescent="0.25">
      <c r="P239" s="42"/>
    </row>
    <row r="240" spans="16:16" x14ac:dyDescent="0.25">
      <c r="P240" s="42"/>
    </row>
    <row r="241" spans="16:16" x14ac:dyDescent="0.25">
      <c r="P241" s="42"/>
    </row>
    <row r="242" spans="16:16" x14ac:dyDescent="0.25">
      <c r="P242" s="42"/>
    </row>
    <row r="243" spans="16:16" x14ac:dyDescent="0.25">
      <c r="P243" s="42"/>
    </row>
    <row r="244" spans="16:16" x14ac:dyDescent="0.25">
      <c r="P244" s="42"/>
    </row>
    <row r="245" spans="16:16" x14ac:dyDescent="0.25">
      <c r="P245" s="42"/>
    </row>
    <row r="246" spans="16:16" x14ac:dyDescent="0.25">
      <c r="P246" s="42"/>
    </row>
    <row r="247" spans="16:16" x14ac:dyDescent="0.25">
      <c r="P247" s="42"/>
    </row>
    <row r="248" spans="16:16" x14ac:dyDescent="0.25">
      <c r="P248" s="42"/>
    </row>
    <row r="249" spans="16:16" x14ac:dyDescent="0.25">
      <c r="P249" s="42"/>
    </row>
    <row r="250" spans="16:16" x14ac:dyDescent="0.25">
      <c r="P250" s="42"/>
    </row>
    <row r="251" spans="16:16" x14ac:dyDescent="0.25">
      <c r="P251" s="42"/>
    </row>
    <row r="252" spans="16:16" x14ac:dyDescent="0.25">
      <c r="P252" s="42"/>
    </row>
    <row r="253" spans="16:16" x14ac:dyDescent="0.25">
      <c r="P253" s="42"/>
    </row>
    <row r="254" spans="16:16" x14ac:dyDescent="0.25">
      <c r="P254" s="42"/>
    </row>
    <row r="255" spans="16:16" x14ac:dyDescent="0.25">
      <c r="P255" s="42"/>
    </row>
    <row r="256" spans="16:16" x14ac:dyDescent="0.25">
      <c r="P256" s="42"/>
    </row>
    <row r="257" spans="16:16" x14ac:dyDescent="0.25">
      <c r="P257" s="42"/>
    </row>
    <row r="258" spans="16:16" x14ac:dyDescent="0.25">
      <c r="P258" s="42"/>
    </row>
    <row r="259" spans="16:16" x14ac:dyDescent="0.25">
      <c r="P259" s="42"/>
    </row>
    <row r="260" spans="16:16" x14ac:dyDescent="0.25">
      <c r="P260" s="42"/>
    </row>
    <row r="261" spans="16:16" x14ac:dyDescent="0.25">
      <c r="P261" s="42"/>
    </row>
    <row r="262" spans="16:16" x14ac:dyDescent="0.25">
      <c r="P262" s="42"/>
    </row>
    <row r="263" spans="16:16" x14ac:dyDescent="0.25">
      <c r="P263" s="42"/>
    </row>
    <row r="264" spans="16:16" x14ac:dyDescent="0.25">
      <c r="P264" s="42"/>
    </row>
    <row r="265" spans="16:16" x14ac:dyDescent="0.25">
      <c r="P265" s="42"/>
    </row>
    <row r="266" spans="16:16" x14ac:dyDescent="0.25">
      <c r="P266" s="42"/>
    </row>
    <row r="267" spans="16:16" x14ac:dyDescent="0.25">
      <c r="P267" s="42"/>
    </row>
    <row r="268" spans="16:16" x14ac:dyDescent="0.25">
      <c r="P268" s="42"/>
    </row>
    <row r="269" spans="16:16" x14ac:dyDescent="0.25">
      <c r="P269" s="42"/>
    </row>
    <row r="270" spans="16:16" x14ac:dyDescent="0.25">
      <c r="P270" s="42"/>
    </row>
    <row r="271" spans="16:16" x14ac:dyDescent="0.25">
      <c r="P271" s="42"/>
    </row>
    <row r="272" spans="16:16" x14ac:dyDescent="0.25">
      <c r="P272" s="42"/>
    </row>
    <row r="273" spans="16:16" x14ac:dyDescent="0.25">
      <c r="P273" s="42"/>
    </row>
    <row r="274" spans="16:16" x14ac:dyDescent="0.25">
      <c r="P274" s="42"/>
    </row>
    <row r="275" spans="16:16" x14ac:dyDescent="0.25">
      <c r="P275" s="42"/>
    </row>
    <row r="276" spans="16:16" x14ac:dyDescent="0.25">
      <c r="P276" s="42"/>
    </row>
    <row r="277" spans="16:16" x14ac:dyDescent="0.25">
      <c r="P277" s="42"/>
    </row>
    <row r="278" spans="16:16" x14ac:dyDescent="0.25">
      <c r="P278" s="42"/>
    </row>
    <row r="279" spans="16:16" x14ac:dyDescent="0.25">
      <c r="P279" s="42"/>
    </row>
    <row r="280" spans="16:16" x14ac:dyDescent="0.25">
      <c r="P280" s="42"/>
    </row>
    <row r="281" spans="16:16" x14ac:dyDescent="0.25">
      <c r="P281" s="42"/>
    </row>
    <row r="282" spans="16:16" x14ac:dyDescent="0.25">
      <c r="P282" s="42"/>
    </row>
    <row r="283" spans="16:16" x14ac:dyDescent="0.25">
      <c r="P283" s="42"/>
    </row>
    <row r="284" spans="16:16" x14ac:dyDescent="0.25">
      <c r="P284" s="42"/>
    </row>
    <row r="819" spans="1:1" x14ac:dyDescent="0.25">
      <c r="A819" s="24"/>
    </row>
    <row r="820" spans="1:1" x14ac:dyDescent="0.25">
      <c r="A820" s="24"/>
    </row>
    <row r="821" spans="1:1" x14ac:dyDescent="0.25">
      <c r="A821" s="24"/>
    </row>
    <row r="822" spans="1:1" x14ac:dyDescent="0.25">
      <c r="A822" s="24"/>
    </row>
    <row r="823" spans="1:1" x14ac:dyDescent="0.25">
      <c r="A823" s="24"/>
    </row>
    <row r="824" spans="1:1" x14ac:dyDescent="0.25">
      <c r="A824" s="24"/>
    </row>
    <row r="825" spans="1:1" x14ac:dyDescent="0.25">
      <c r="A825" s="24"/>
    </row>
    <row r="826" spans="1:1" x14ac:dyDescent="0.25">
      <c r="A826" s="24"/>
    </row>
    <row r="827" spans="1:1" x14ac:dyDescent="0.25">
      <c r="A827" s="24"/>
    </row>
    <row r="828" spans="1:1" x14ac:dyDescent="0.25">
      <c r="A828" s="24"/>
    </row>
    <row r="829" spans="1:1" x14ac:dyDescent="0.25">
      <c r="A829" s="24"/>
    </row>
    <row r="830" spans="1:1" x14ac:dyDescent="0.25">
      <c r="A830" s="24"/>
    </row>
  </sheetData>
  <mergeCells count="6">
    <mergeCell ref="A3:D3"/>
    <mergeCell ref="A1:D1"/>
    <mergeCell ref="O1:Q1"/>
    <mergeCell ref="A2:D2"/>
    <mergeCell ref="E2:L2"/>
    <mergeCell ref="O2:Q2"/>
  </mergeCells>
  <phoneticPr fontId="19" type="noConversion"/>
  <dataValidations count="3">
    <dataValidation type="list" allowBlank="1" showInputMessage="1" showErrorMessage="1" sqref="E14:E15 E23:E28">
      <formula1>$EC$4819:$EC$4825</formula1>
    </dataValidation>
    <dataValidation type="list" allowBlank="1" showInputMessage="1" showErrorMessage="1" sqref="B6:B744">
      <formula1>APPLICATION</formula1>
    </dataValidation>
    <dataValidation type="list" allowBlank="1" showInputMessage="1" showErrorMessage="1" sqref="P6:P284">
      <formula1>DESIGN</formula1>
    </dataValidation>
  </dataValidations>
  <pageMargins left="0.75" right="0.75" top="1" bottom="1" header="0" footer="0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4"/>
    </sheetView>
  </sheetViews>
  <sheetFormatPr baseColWidth="10" defaultRowHeight="15" x14ac:dyDescent="0.25"/>
  <sheetData>
    <row r="1" spans="1:1" ht="60" x14ac:dyDescent="0.25">
      <c r="A1" s="50" t="s">
        <v>33</v>
      </c>
    </row>
    <row r="2" spans="1:1" ht="96" x14ac:dyDescent="0.25">
      <c r="A2" s="50" t="s">
        <v>30</v>
      </c>
    </row>
    <row r="3" spans="1:1" ht="60" x14ac:dyDescent="0.25">
      <c r="A3" s="50" t="s">
        <v>34</v>
      </c>
    </row>
    <row r="4" spans="1:1" ht="96" x14ac:dyDescent="0.25">
      <c r="A4" s="50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7F7DC081A204F91D19A53A1BF25F1" ma:contentTypeVersion="1" ma:contentTypeDescription="Create a new document." ma:contentTypeScope="" ma:versionID="65ef50643090f9882a8eff2cab119aa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CBFC18-4CBC-434A-9694-5E0AC502B955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48A38C7-34AF-49BA-BDE0-CD226C3A4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F23EFF-3ABC-402E-8D26-FCAFB6FD66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casos de prueba</vt:lpstr>
      <vt:lpstr>Hoja1</vt:lpstr>
      <vt:lpstr>APPLICATION</vt:lpstr>
      <vt:lpstr>DESIGN</vt:lpstr>
      <vt:lpstr>sdad</vt:lpstr>
    </vt:vector>
  </TitlesOfParts>
  <Company>Grupo Financiero Banamex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Casos de Prueba que debe ser utilizada en el template de GOM</dc:title>
  <dc:creator>90957296</dc:creator>
  <cp:lastModifiedBy>Hernandez Valencia, Luis Alberto [GCB-RTLB NE]</cp:lastModifiedBy>
  <dcterms:created xsi:type="dcterms:W3CDTF">2011-02-11T19:34:51Z</dcterms:created>
  <dcterms:modified xsi:type="dcterms:W3CDTF">2018-06-20T22:43:48Z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0x0101003737F7DC081A204F91D19A53A1BF25F1</vt:lpwstr>
  </property>
</Properties>
</file>